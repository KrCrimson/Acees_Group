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um Meeting" sheetId="1" r:id="rId4"/>
    <sheet state="visible" name="EXAMPLE Daily Scrum Meeting" sheetId="2" r:id="rId5"/>
    <sheet state="visible" name="Dropdown Keys - DO NOT DELETE" sheetId="3" r:id="rId6"/>
  </sheets>
  <definedNames/>
  <calcPr/>
  <extLst>
    <ext uri="GoogleSheetsCustomDataVersion2">
      <go:sheetsCustomData xmlns:go="http://customooxmlschemas.google.com/" r:id="rId7" roundtripDataChecksum="w2pC6likeJoEaxc2dVYYR8atsuH2C3dfzUiCxGEHQM0="/>
    </ext>
  </extLst>
</workbook>
</file>

<file path=xl/sharedStrings.xml><?xml version="1.0" encoding="utf-8"?>
<sst xmlns="http://schemas.openxmlformats.org/spreadsheetml/2006/main" count="439" uniqueCount="109">
  <si>
    <t>Soluciones Móviles II - DAILY SCRUM STAND UP MEETING</t>
  </si>
  <si>
    <t>GROUP NAME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</si>
  <si>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</si>
  <si>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Sprint</t>
  </si>
  <si>
    <t>SUPERVISOR</t>
  </si>
  <si>
    <t>Control de Acceso Universitario</t>
  </si>
  <si>
    <t>Dr. Ing. Oscar Jimenez</t>
  </si>
  <si>
    <t>URL tablero</t>
  </si>
  <si>
    <t>https://github.com/orgs/Sistema-de-control-de-acceso/projects/8</t>
  </si>
  <si>
    <t>URL github</t>
  </si>
  <si>
    <t>https://github.com/Sistema-de-control-de-acceso/MovilesII.git</t>
  </si>
  <si>
    <t>MON</t>
  </si>
  <si>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</si>
  <si>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</si>
  <si>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</si>
  <si>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</si>
  <si>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</si>
  <si>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</si>
  <si>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</si>
  <si>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Cesar Chavez</t>
  </si>
  <si>
    <t>Dashboard general accesos</t>
  </si>
  <si>
    <t>High</t>
  </si>
  <si>
    <t>Real-time metrics setup</t>
  </si>
  <si>
    <t>Ready to Start</t>
  </si>
  <si>
    <t>Data from previous sprints ready</t>
  </si>
  <si>
    <t>Sebastian Arce</t>
  </si>
  <si>
    <t>Gráficos flujo horarios</t>
  </si>
  <si>
    <t>Chart library integration</t>
  </si>
  <si>
    <t>Interactive charts with drill-down</t>
  </si>
  <si>
    <t>Angel Hernandez</t>
  </si>
  <si>
    <t>Predicciones modelo ML</t>
  </si>
  <si>
    <t>Visualization design started</t>
  </si>
  <si>
    <t>In Progress</t>
  </si>
  <si>
    <t>ML predictions from Sprint 4 ready</t>
  </si>
  <si>
    <t>Juan Luna</t>
  </si>
  <si>
    <t>Reportes eficiencia buses</t>
  </si>
  <si>
    <t>Medium</t>
  </si>
  <si>
    <t>Metrics calculation design</t>
  </si>
  <si>
    <t>Before/after comparison needed</t>
  </si>
  <si>
    <t>TUES</t>
  </si>
  <si>
    <t>Interactive graphs 70% done</t>
  </si>
  <si>
    <t>Responsive design implemented</t>
  </si>
  <si>
    <t>Temporal filters 80% complete</t>
  </si>
  <si>
    <t>Day/hour drill-down working</t>
  </si>
  <si>
    <t>Confidence intervals added</t>
  </si>
  <si>
    <t>Testing</t>
  </si>
  <si>
    <t>Prediction vs real comparison visual</t>
  </si>
  <si>
    <t>Utilization metrics 60% done</t>
  </si>
  <si>
    <t>ROI calculation in progress</t>
  </si>
  <si>
    <t>WED</t>
  </si>
  <si>
    <t>Real-time updates validated</t>
  </si>
  <si>
    <t>General dashboard 95% complete</t>
  </si>
  <si>
    <t xml:space="preserve">All filters implemented	</t>
  </si>
  <si>
    <t>Flow charts testing phase</t>
  </si>
  <si>
    <t xml:space="preserve">Auto-update implemented	</t>
  </si>
  <si>
    <t>Complete</t>
  </si>
  <si>
    <t>ML predictions visualization ready</t>
  </si>
  <si>
    <t>ROI calculation completed</t>
  </si>
  <si>
    <t>Bus efficiency metrics validated</t>
  </si>
  <si>
    <t>THU</t>
  </si>
  <si>
    <t>Final testing completed</t>
  </si>
  <si>
    <t>General dashboard fully operational</t>
  </si>
  <si>
    <t>All filters tested</t>
  </si>
  <si>
    <t>Flow visualization complete</t>
  </si>
  <si>
    <t>Final validation done</t>
  </si>
  <si>
    <t>Bus efficiency reports operational</t>
  </si>
  <si>
    <t>Sprint 5 Dashboard Components Integration
Testing all visualization modules together</t>
  </si>
  <si>
    <t>FRI</t>
  </si>
  <si>
    <t>SPRINT 5 COMPLETED SUCCESSFULLY 
All 4 User Stories completed and integrated
• General Access Dashboard 
• Interactive Flow Charts 
• ML Predictions Visualization 
• Bus Efficiency Reports 
Ready to proceed to Sprint 6 (Advanced Reports)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</si>
  <si>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</si>
  <si>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Team Alpha</t>
  </si>
  <si>
    <t>https://…</t>
  </si>
  <si>
    <t>Leon W</t>
  </si>
  <si>
    <t>Project Charter</t>
  </si>
  <si>
    <t>Initial edits started</t>
  </si>
  <si>
    <t>Need input from Team A</t>
  </si>
  <si>
    <t>Kylie R</t>
  </si>
  <si>
    <t>Project Charter Revisions</t>
  </si>
  <si>
    <t>On hold for initial edits</t>
  </si>
  <si>
    <t>On Hold</t>
  </si>
  <si>
    <t>Pete S</t>
  </si>
  <si>
    <t>Research</t>
  </si>
  <si>
    <t>Low</t>
  </si>
  <si>
    <t>Ongoing</t>
  </si>
  <si>
    <t>Document C not currently available</t>
  </si>
  <si>
    <t>Steve L</t>
  </si>
  <si>
    <t>Projections</t>
  </si>
  <si>
    <t>Drafted</t>
  </si>
  <si>
    <t>Allen W</t>
  </si>
  <si>
    <t>Stakeholders</t>
  </si>
  <si>
    <t>Malik M</t>
  </si>
  <si>
    <t>Guidelines</t>
  </si>
  <si>
    <t>Initial edits finalized</t>
  </si>
  <si>
    <t>Project Initiation</t>
  </si>
  <si>
    <t>Not yet started</t>
  </si>
  <si>
    <t>Scope and Goal Setting</t>
  </si>
  <si>
    <t>Budget</t>
  </si>
  <si>
    <t>Reason 1</t>
  </si>
  <si>
    <t>Description 1</t>
  </si>
  <si>
    <t>Reason 2</t>
  </si>
  <si>
    <t>Description 2</t>
  </si>
  <si>
    <t>Reason 3</t>
  </si>
  <si>
    <t>Description 3</t>
  </si>
  <si>
    <t>Reason 4</t>
  </si>
  <si>
    <t>Description 4</t>
  </si>
  <si>
    <t>KEY DROPDOWNS - DO NOT DELETE</t>
  </si>
  <si>
    <t>PRIORITY KEY</t>
  </si>
  <si>
    <t>STATUS KEY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</si>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</sst>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7">
    <font>
      <sz val="11.0"/>
      <color theme="1"/>
      <name val="Calibri"/>
      <scheme val="minor"/>
    </font>
    <font>
      <b/>
      <sz val="22.0"/>
      <color rgb="FF595959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1.0"/>
      <color theme="1"/>
      <name val="Century Gothic"/>
    </font>
    <font>
      <b/>
      <sz val="14.0"/>
      <color rgb="FF595959"/>
      <name val="Century Gothic"/>
    </font>
    <font/>
    <font>
      <u/>
      <sz val="11.0"/>
      <color theme="10"/>
      <name val="Calibri"/>
    </font>
    <font>
      <b/>
      <sz val="18.0"/>
      <color rgb="FF2E75B5"/>
      <name val="Century Gothic"/>
    </font>
    <font>
      <sz val="16.0"/>
      <color rgb="FF2E75B5"/>
      <name val="Century Gothic"/>
    </font>
    <font>
      <i/>
      <sz val="10.0"/>
      <color rgb="FF2E75B5"/>
      <name val="Century Gothic"/>
    </font>
    <font>
      <sz val="11.0"/>
      <color rgb="FF2E75B5"/>
      <name val="Century Gothic"/>
    </font>
    <font>
      <sz val="10.0"/>
      <color theme="1"/>
      <name val="Century Gothic"/>
    </font>
    <font>
      <sz val="10.0"/>
      <color rgb="FF000000"/>
      <name val="Century Gothic"/>
    </font>
    <font>
      <b/>
      <sz val="16.0"/>
      <color rgb="FF2E75B5"/>
      <name val="Century Gothic"/>
    </font>
    <font>
      <b/>
      <sz val="10.0"/>
      <color theme="0"/>
      <name val="Century Gothic"/>
    </font>
    <font>
      <sz val="14.0"/>
      <color theme="1"/>
      <name val="Century Gothic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222A35"/>
        <bgColor rgb="FF222A35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14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top/>
      <bottom/>
    </border>
    <border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3" numFmtId="0" xfId="0" applyAlignment="1" applyBorder="1" applyFill="1" applyFont="1">
      <alignment horizontal="center"/>
    </xf>
    <xf borderId="0" fillId="0" fontId="4" numFmtId="0" xfId="0" applyFont="1"/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5" numFmtId="164" xfId="0" applyAlignment="1" applyBorder="1" applyFont="1" applyNumberFormat="1">
      <alignment horizontal="center" vertical="center"/>
    </xf>
    <xf borderId="1" fillId="2" fontId="5" numFmtId="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4" fontId="7" numFmtId="0" xfId="0" applyAlignment="1" applyBorder="1" applyFont="1">
      <alignment horizontal="left" vertical="center"/>
    </xf>
    <xf borderId="5" fillId="0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horizontal="left"/>
    </xf>
    <xf borderId="0" fillId="0" fontId="9" numFmtId="164" xfId="0" applyAlignment="1" applyFont="1" applyNumberFormat="1">
      <alignment horizontal="left"/>
    </xf>
    <xf borderId="0" fillId="0" fontId="10" numFmtId="0" xfId="0" applyAlignment="1" applyFont="1">
      <alignment horizontal="left"/>
    </xf>
    <xf borderId="4" fillId="5" fontId="11" numFmtId="0" xfId="0" applyAlignment="1" applyBorder="1" applyFill="1" applyFont="1">
      <alignment horizontal="left" vertical="center"/>
    </xf>
    <xf borderId="4" fillId="2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vertical="center"/>
    </xf>
    <xf borderId="0" fillId="0" fontId="14" numFmtId="0" xfId="0" applyAlignment="1" applyFont="1">
      <alignment horizontal="left"/>
    </xf>
    <xf borderId="4" fillId="6" fontId="12" numFmtId="0" xfId="0" applyAlignment="1" applyBorder="1" applyFill="1" applyFont="1">
      <alignment horizontal="left" shrinkToFit="0" vertical="center" wrapText="1"/>
    </xf>
    <xf borderId="7" fillId="7" fontId="15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5" fontId="11" numFmtId="0" xfId="0" applyAlignment="1" applyBorder="1" applyFont="1">
      <alignment horizontal="left" vertical="center"/>
    </xf>
    <xf borderId="11" fillId="8" fontId="12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2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4" fillId="9" fontId="15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ont="1">
      <alignment horizontal="left" readingOrder="1" shrinkToFit="0" vertical="center" wrapText="1"/>
    </xf>
    <xf borderId="4" fillId="2" fontId="13" numFmtId="0" xfId="0" applyAlignment="1" applyBorder="1" applyFont="1">
      <alignment horizontal="left" readingOrder="1" shrinkToFit="0" vertical="center" wrapText="1"/>
    </xf>
    <xf borderId="4" fillId="10" fontId="13" numFmtId="0" xfId="0" applyAlignment="1" applyBorder="1" applyFill="1" applyFont="1">
      <alignment horizontal="left" readingOrder="1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shrinkToFit="0" wrapText="1"/>
    </xf>
    <xf borderId="4" fillId="11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rgs/Sistema-de-control-de-acceso/projects/8" TargetMode="External"/><Relationship Id="rId2" Type="http://schemas.openxmlformats.org/officeDocument/2006/relationships/hyperlink" Target="https://github.com/Sistema-de-control-de-acceso/MovilesII.g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8.71"/>
    <col customWidth="1" min="3" max="3" width="24.43"/>
    <col customWidth="1" min="4" max="4" width="47.0"/>
    <col customWidth="1" min="5" max="5" width="27.71"/>
    <col customWidth="1" min="6" max="6" width="34.57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2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5</v>
      </c>
      <c r="C3" s="8"/>
      <c r="D3" s="9">
        <v>45928.0</v>
      </c>
      <c r="E3" s="7">
        <v>5.0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5.25" customHeight="1">
      <c r="A4" s="6"/>
      <c r="B4" s="12" t="s">
        <v>7</v>
      </c>
      <c r="C4" s="8"/>
      <c r="D4" s="13" t="s">
        <v>8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5.25" customHeight="1">
      <c r="A5" s="6"/>
      <c r="B5" s="12" t="s">
        <v>9</v>
      </c>
      <c r="C5" s="8"/>
      <c r="D5" s="13" t="s">
        <v>10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45929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19</v>
      </c>
      <c r="D8" s="21" t="s">
        <v>20</v>
      </c>
      <c r="E8" s="20" t="s">
        <v>21</v>
      </c>
      <c r="F8" s="22" t="s">
        <v>22</v>
      </c>
      <c r="G8" s="20" t="s">
        <v>23</v>
      </c>
      <c r="H8" s="22" t="s">
        <v>24</v>
      </c>
    </row>
    <row r="9" ht="21.75" customHeight="1">
      <c r="B9" s="20">
        <v>2.0</v>
      </c>
      <c r="C9" s="21" t="s">
        <v>25</v>
      </c>
      <c r="D9" s="21" t="s">
        <v>26</v>
      </c>
      <c r="E9" s="20" t="s">
        <v>21</v>
      </c>
      <c r="F9" s="22" t="s">
        <v>27</v>
      </c>
      <c r="G9" s="20" t="s">
        <v>23</v>
      </c>
      <c r="H9" s="22" t="s">
        <v>28</v>
      </c>
    </row>
    <row r="10" ht="21.75" customHeight="1">
      <c r="B10" s="20">
        <v>3.0</v>
      </c>
      <c r="C10" s="21" t="s">
        <v>29</v>
      </c>
      <c r="D10" s="21" t="s">
        <v>30</v>
      </c>
      <c r="E10" s="20" t="s">
        <v>21</v>
      </c>
      <c r="F10" s="22" t="s">
        <v>31</v>
      </c>
      <c r="G10" s="20" t="s">
        <v>32</v>
      </c>
      <c r="H10" s="22" t="s">
        <v>33</v>
      </c>
    </row>
    <row r="11" ht="21.75" customHeight="1">
      <c r="B11" s="20">
        <v>4.0</v>
      </c>
      <c r="C11" s="21" t="s">
        <v>34</v>
      </c>
      <c r="D11" s="21" t="s">
        <v>35</v>
      </c>
      <c r="E11" s="20" t="s">
        <v>36</v>
      </c>
      <c r="F11" s="22" t="s">
        <v>37</v>
      </c>
      <c r="G11" s="20" t="s">
        <v>23</v>
      </c>
      <c r="H11" s="22" t="s">
        <v>38</v>
      </c>
    </row>
    <row r="12" ht="47.25" customHeight="1">
      <c r="B12" s="16" t="s">
        <v>39</v>
      </c>
      <c r="C12" s="17">
        <f>D3+2</f>
        <v>45930</v>
      </c>
      <c r="D12" s="18"/>
      <c r="E12" s="18"/>
      <c r="F12" s="18"/>
      <c r="G12" s="18"/>
      <c r="H12" s="18"/>
    </row>
    <row r="13" ht="27.0" customHeight="1">
      <c r="B13" s="19" t="s">
        <v>12</v>
      </c>
      <c r="C13" s="19" t="s">
        <v>13</v>
      </c>
      <c r="D13" s="19" t="s">
        <v>14</v>
      </c>
      <c r="E13" s="19" t="s">
        <v>15</v>
      </c>
      <c r="F13" s="19" t="s">
        <v>16</v>
      </c>
      <c r="G13" s="19" t="s">
        <v>17</v>
      </c>
      <c r="H13" s="19" t="s">
        <v>18</v>
      </c>
    </row>
    <row r="14" ht="21.75" customHeight="1">
      <c r="B14" s="20">
        <v>1.0</v>
      </c>
      <c r="C14" s="21" t="s">
        <v>19</v>
      </c>
      <c r="D14" s="21" t="s">
        <v>20</v>
      </c>
      <c r="E14" s="20" t="s">
        <v>21</v>
      </c>
      <c r="F14" s="22" t="s">
        <v>40</v>
      </c>
      <c r="G14" s="20" t="s">
        <v>32</v>
      </c>
      <c r="H14" s="22" t="s">
        <v>41</v>
      </c>
    </row>
    <row r="15" ht="21.75" customHeight="1">
      <c r="B15" s="20">
        <v>2.0</v>
      </c>
      <c r="C15" s="21" t="s">
        <v>25</v>
      </c>
      <c r="D15" s="21" t="s">
        <v>26</v>
      </c>
      <c r="E15" s="20" t="s">
        <v>21</v>
      </c>
      <c r="F15" s="22" t="s">
        <v>42</v>
      </c>
      <c r="G15" s="20" t="s">
        <v>32</v>
      </c>
      <c r="H15" s="22" t="s">
        <v>43</v>
      </c>
    </row>
    <row r="16" ht="21.75" customHeight="1">
      <c r="B16" s="20">
        <v>3.0</v>
      </c>
      <c r="C16" s="21" t="s">
        <v>29</v>
      </c>
      <c r="D16" s="21" t="s">
        <v>30</v>
      </c>
      <c r="E16" s="20" t="s">
        <v>21</v>
      </c>
      <c r="F16" s="22" t="s">
        <v>44</v>
      </c>
      <c r="G16" s="20" t="s">
        <v>45</v>
      </c>
      <c r="H16" s="22" t="s">
        <v>46</v>
      </c>
    </row>
    <row r="17" ht="21.75" customHeight="1">
      <c r="B17" s="20">
        <v>4.0</v>
      </c>
      <c r="C17" s="21" t="s">
        <v>34</v>
      </c>
      <c r="D17" s="21" t="s">
        <v>35</v>
      </c>
      <c r="E17" s="20" t="s">
        <v>36</v>
      </c>
      <c r="F17" s="22" t="s">
        <v>47</v>
      </c>
      <c r="G17" s="20" t="s">
        <v>32</v>
      </c>
      <c r="H17" s="22" t="s">
        <v>48</v>
      </c>
    </row>
    <row r="18" ht="47.25" customHeight="1">
      <c r="B18" s="23" t="s">
        <v>49</v>
      </c>
      <c r="C18" s="17">
        <f>D3+3</f>
        <v>45931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19</v>
      </c>
      <c r="D20" s="21" t="s">
        <v>20</v>
      </c>
      <c r="E20" s="20" t="s">
        <v>21</v>
      </c>
      <c r="F20" s="22" t="s">
        <v>50</v>
      </c>
      <c r="G20" s="20" t="s">
        <v>45</v>
      </c>
      <c r="H20" s="22" t="s">
        <v>51</v>
      </c>
    </row>
    <row r="21" ht="21.75" customHeight="1">
      <c r="B21" s="20">
        <v>2.0</v>
      </c>
      <c r="C21" s="21" t="s">
        <v>25</v>
      </c>
      <c r="D21" s="21" t="s">
        <v>26</v>
      </c>
      <c r="E21" s="20" t="s">
        <v>21</v>
      </c>
      <c r="F21" s="22" t="s">
        <v>52</v>
      </c>
      <c r="G21" s="20" t="s">
        <v>45</v>
      </c>
      <c r="H21" s="22" t="s">
        <v>53</v>
      </c>
    </row>
    <row r="22" ht="21.75" customHeight="1">
      <c r="B22" s="20">
        <v>3.0</v>
      </c>
      <c r="C22" s="21" t="s">
        <v>29</v>
      </c>
      <c r="D22" s="21" t="s">
        <v>30</v>
      </c>
      <c r="E22" s="20" t="s">
        <v>21</v>
      </c>
      <c r="F22" s="22" t="s">
        <v>54</v>
      </c>
      <c r="G22" s="20" t="s">
        <v>55</v>
      </c>
      <c r="H22" s="22" t="s">
        <v>56</v>
      </c>
    </row>
    <row r="23" ht="21.75" customHeight="1">
      <c r="B23" s="20">
        <v>4.0</v>
      </c>
      <c r="C23" s="21" t="s">
        <v>34</v>
      </c>
      <c r="D23" s="21" t="s">
        <v>35</v>
      </c>
      <c r="E23" s="20" t="s">
        <v>36</v>
      </c>
      <c r="F23" s="22" t="s">
        <v>57</v>
      </c>
      <c r="G23" s="20" t="s">
        <v>45</v>
      </c>
      <c r="H23" s="22" t="s">
        <v>58</v>
      </c>
    </row>
    <row r="24" ht="47.25" customHeight="1">
      <c r="B24" s="16" t="s">
        <v>59</v>
      </c>
      <c r="C24" s="17">
        <f>D3+4</f>
        <v>45932</v>
      </c>
      <c r="D24" s="18"/>
      <c r="E24" s="18"/>
      <c r="F24" s="18"/>
      <c r="G24" s="18"/>
      <c r="H24" s="18"/>
    </row>
    <row r="25" ht="27.0" customHeight="1">
      <c r="B25" s="19" t="s">
        <v>12</v>
      </c>
      <c r="C25" s="19" t="s">
        <v>13</v>
      </c>
      <c r="D25" s="19" t="s">
        <v>14</v>
      </c>
      <c r="E25" s="19" t="s">
        <v>15</v>
      </c>
      <c r="F25" s="19" t="s">
        <v>16</v>
      </c>
      <c r="G25" s="19" t="s">
        <v>17</v>
      </c>
      <c r="H25" s="19" t="s">
        <v>18</v>
      </c>
    </row>
    <row r="26" ht="21.75" customHeight="1">
      <c r="B26" s="20">
        <v>3.0</v>
      </c>
      <c r="C26" s="21" t="s">
        <v>19</v>
      </c>
      <c r="D26" s="21" t="s">
        <v>20</v>
      </c>
      <c r="E26" s="20" t="s">
        <v>21</v>
      </c>
      <c r="F26" s="22" t="s">
        <v>60</v>
      </c>
      <c r="G26" s="24" t="s">
        <v>55</v>
      </c>
      <c r="H26" s="22" t="s">
        <v>61</v>
      </c>
    </row>
    <row r="27" ht="21.75" customHeight="1">
      <c r="B27" s="20">
        <v>4.0</v>
      </c>
      <c r="C27" s="21" t="s">
        <v>25</v>
      </c>
      <c r="D27" s="21" t="s">
        <v>26</v>
      </c>
      <c r="E27" s="20" t="s">
        <v>21</v>
      </c>
      <c r="F27" s="22" t="s">
        <v>62</v>
      </c>
      <c r="G27" s="24" t="s">
        <v>55</v>
      </c>
      <c r="H27" s="22" t="s">
        <v>63</v>
      </c>
    </row>
    <row r="28" ht="21.75" customHeight="1">
      <c r="B28" s="20">
        <v>8.0</v>
      </c>
      <c r="C28" s="21" t="s">
        <v>34</v>
      </c>
      <c r="D28" s="21" t="s">
        <v>35</v>
      </c>
      <c r="E28" s="20" t="s">
        <v>36</v>
      </c>
      <c r="F28" s="22" t="s">
        <v>64</v>
      </c>
      <c r="G28" s="24" t="s">
        <v>55</v>
      </c>
      <c r="H28" s="22" t="s">
        <v>65</v>
      </c>
    </row>
    <row r="29" ht="42.75" customHeight="1">
      <c r="B29" s="25" t="s">
        <v>66</v>
      </c>
      <c r="C29" s="26"/>
      <c r="D29" s="26"/>
      <c r="E29" s="26"/>
      <c r="F29" s="26"/>
      <c r="G29" s="26"/>
      <c r="H29" s="27"/>
    </row>
    <row r="30" ht="47.25" customHeight="1">
      <c r="B30" s="16" t="s">
        <v>67</v>
      </c>
      <c r="C30" s="17">
        <f>D3+5</f>
        <v>45933</v>
      </c>
      <c r="D30" s="18"/>
      <c r="E30" s="18"/>
      <c r="F30" s="18"/>
      <c r="G30" s="18"/>
      <c r="H30" s="18"/>
    </row>
    <row r="31" ht="27.0" customHeight="1">
      <c r="B31" s="28" t="s">
        <v>12</v>
      </c>
      <c r="C31" s="28" t="s">
        <v>13</v>
      </c>
      <c r="D31" s="28" t="s">
        <v>14</v>
      </c>
      <c r="E31" s="28" t="s">
        <v>15</v>
      </c>
      <c r="F31" s="28" t="s">
        <v>16</v>
      </c>
      <c r="G31" s="28" t="s">
        <v>17</v>
      </c>
      <c r="H31" s="28" t="s">
        <v>18</v>
      </c>
    </row>
    <row r="32" ht="120.75" customHeight="1">
      <c r="B32" s="29" t="s">
        <v>68</v>
      </c>
      <c r="C32" s="30"/>
      <c r="D32" s="30"/>
      <c r="E32" s="30"/>
      <c r="F32" s="30"/>
      <c r="G32" s="30"/>
      <c r="H32" s="31"/>
    </row>
    <row r="33" ht="15.0" customHeight="1">
      <c r="B33" s="32"/>
      <c r="C33" s="33"/>
      <c r="D33" s="33"/>
      <c r="E33" s="32"/>
      <c r="F33" s="34"/>
      <c r="G33" s="32"/>
      <c r="H33" s="3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:C4"/>
    <mergeCell ref="B5:C5"/>
    <mergeCell ref="D5:H5"/>
    <mergeCell ref="B29:H29"/>
    <mergeCell ref="B32:H32"/>
    <mergeCell ref="B2:C2"/>
    <mergeCell ref="E2:F2"/>
    <mergeCell ref="G2:H2"/>
    <mergeCell ref="B3:C3"/>
    <mergeCell ref="E3:F3"/>
    <mergeCell ref="G3:H3"/>
    <mergeCell ref="D4:H4"/>
  </mergeCells>
  <conditionalFormatting sqref="B8:B11 B26:B29 B32:B33">
    <cfRule type="containsText" dxfId="0" priority="1" operator="containsText" text="Update">
      <formula>NOT(ISERROR(SEARCH(("Update"),(B8))))</formula>
    </cfRule>
  </conditionalFormatting>
  <conditionalFormatting sqref="B8:B11 B26:B29 B32:B33">
    <cfRule type="containsText" dxfId="1" priority="2" operator="containsText" text="Task">
      <formula>NOT(ISERROR(SEARCH(("Task"),(B8))))</formula>
    </cfRule>
  </conditionalFormatting>
  <conditionalFormatting sqref="B8:B11 B26:B29 B32:B33">
    <cfRule type="containsText" dxfId="2" priority="3" operator="containsText" text="Content">
      <formula>NOT(ISERROR(SEARCH(("Content"),(B8))))</formula>
    </cfRule>
  </conditionalFormatting>
  <conditionalFormatting sqref="B8:B11 B26:B29 B32:B33">
    <cfRule type="containsText" dxfId="3" priority="4" operator="containsText" text="Feature">
      <formula>NOT(ISERROR(SEARCH(("Feature"),(B8))))</formula>
    </cfRule>
  </conditionalFormatting>
  <conditionalFormatting sqref="B8:B11 B26:B29 B32:B33">
    <cfRule type="containsText" dxfId="4" priority="5" operator="containsText" text="Research">
      <formula>NOT(ISERROR(SEARCH(("Research"),(B8))))</formula>
    </cfRule>
  </conditionalFormatting>
  <conditionalFormatting sqref="E8:E11 E26:E28 E33">
    <cfRule type="containsText" dxfId="5" priority="6" operator="containsText" text="Low">
      <formula>NOT(ISERROR(SEARCH(("Low"),(E8))))</formula>
    </cfRule>
  </conditionalFormatting>
  <conditionalFormatting sqref="E8:E11 E26:E28 E33">
    <cfRule type="containsText" dxfId="6" priority="7" operator="containsText" text="Medium">
      <formula>NOT(ISERROR(SEARCH(("Medium"),(E8))))</formula>
    </cfRule>
  </conditionalFormatting>
  <conditionalFormatting sqref="E8:E11 E26:E28 E33">
    <cfRule type="containsText" dxfId="7" priority="8" operator="containsText" text="High">
      <formula>NOT(ISERROR(SEARCH(("High"),(E8))))</formula>
    </cfRule>
  </conditionalFormatting>
  <conditionalFormatting sqref="G8:G11 G26:G28 G33">
    <cfRule type="containsText" dxfId="8" priority="9" operator="containsText" text="Testing">
      <formula>NOT(ISERROR(SEARCH(("Testing"),(G8))))</formula>
    </cfRule>
  </conditionalFormatting>
  <conditionalFormatting sqref="G8:G11 G26:G28 G33">
    <cfRule type="containsText" dxfId="9" priority="10" operator="containsText" text="On Hold">
      <formula>NOT(ISERROR(SEARCH(("On Hold"),(G8))))</formula>
    </cfRule>
  </conditionalFormatting>
  <conditionalFormatting sqref="G8:G11 G26:G28 G33">
    <cfRule type="containsText" dxfId="10" priority="11" operator="containsText" text="Complete">
      <formula>NOT(ISERROR(SEARCH(("Complete"),(G8))))</formula>
    </cfRule>
  </conditionalFormatting>
  <conditionalFormatting sqref="G8:G11 G26:G28 G33">
    <cfRule type="containsText" dxfId="11" priority="12" operator="containsText" text="Ready to Start">
      <formula>NOT(ISERROR(SEARCH(("Ready to Start"),(G8))))</formula>
    </cfRule>
  </conditionalFormatting>
  <conditionalFormatting sqref="G8:G11 G26:G28 G33">
    <cfRule type="containsText" dxfId="12" priority="13" operator="containsText" text="In Progress">
      <formula>NOT(ISERROR(SEARCH(("In Progress"),(G8))))</formula>
    </cfRule>
  </conditionalFormatting>
  <conditionalFormatting sqref="B14:B17">
    <cfRule type="containsText" dxfId="0" priority="14" operator="containsText" text="Update">
      <formula>NOT(ISERROR(SEARCH(("Update"),(B14))))</formula>
    </cfRule>
  </conditionalFormatting>
  <conditionalFormatting sqref="B14:B17">
    <cfRule type="containsText" dxfId="1" priority="15" operator="containsText" text="Task">
      <formula>NOT(ISERROR(SEARCH(("Task"),(B14))))</formula>
    </cfRule>
  </conditionalFormatting>
  <conditionalFormatting sqref="B14:B17">
    <cfRule type="containsText" dxfId="2" priority="16" operator="containsText" text="Content">
      <formula>NOT(ISERROR(SEARCH(("Content"),(B14))))</formula>
    </cfRule>
  </conditionalFormatting>
  <conditionalFormatting sqref="B14:B17">
    <cfRule type="containsText" dxfId="3" priority="17" operator="containsText" text="Feature">
      <formula>NOT(ISERROR(SEARCH(("Feature"),(B14))))</formula>
    </cfRule>
  </conditionalFormatting>
  <conditionalFormatting sqref="B14:B17">
    <cfRule type="containsText" dxfId="4" priority="18" operator="containsText" text="Research">
      <formula>NOT(ISERROR(SEARCH(("Research"),(B14))))</formula>
    </cfRule>
  </conditionalFormatting>
  <conditionalFormatting sqref="B20:B23">
    <cfRule type="containsText" dxfId="0" priority="19" operator="containsText" text="Update">
      <formula>NOT(ISERROR(SEARCH(("Update"),(B20))))</formula>
    </cfRule>
  </conditionalFormatting>
  <conditionalFormatting sqref="B20:B23">
    <cfRule type="containsText" dxfId="1" priority="20" operator="containsText" text="Task">
      <formula>NOT(ISERROR(SEARCH(("Task"),(B20))))</formula>
    </cfRule>
  </conditionalFormatting>
  <conditionalFormatting sqref="B20:B23">
    <cfRule type="containsText" dxfId="2" priority="21" operator="containsText" text="Content">
      <formula>NOT(ISERROR(SEARCH(("Content"),(B20))))</formula>
    </cfRule>
  </conditionalFormatting>
  <conditionalFormatting sqref="B20:B23">
    <cfRule type="containsText" dxfId="3" priority="22" operator="containsText" text="Feature">
      <formula>NOT(ISERROR(SEARCH(("Feature"),(B20))))</formula>
    </cfRule>
  </conditionalFormatting>
  <conditionalFormatting sqref="B20:B23">
    <cfRule type="containsText" dxfId="4" priority="23" operator="containsText" text="Research">
      <formula>NOT(ISERROR(SEARCH(("Research"),(B20))))</formula>
    </cfRule>
  </conditionalFormatting>
  <conditionalFormatting sqref="E14:E17">
    <cfRule type="containsText" dxfId="5" priority="24" operator="containsText" text="Low">
      <formula>NOT(ISERROR(SEARCH(("Low"),(E14))))</formula>
    </cfRule>
  </conditionalFormatting>
  <conditionalFormatting sqref="E14:E17">
    <cfRule type="containsText" dxfId="6" priority="25" operator="containsText" text="Medium">
      <formula>NOT(ISERROR(SEARCH(("Medium"),(E14))))</formula>
    </cfRule>
  </conditionalFormatting>
  <conditionalFormatting sqref="E14:E17">
    <cfRule type="containsText" dxfId="7" priority="26" operator="containsText" text="High">
      <formula>NOT(ISERROR(SEARCH(("High"),(E14))))</formula>
    </cfRule>
  </conditionalFormatting>
  <conditionalFormatting sqref="G14:G17">
    <cfRule type="containsText" dxfId="8" priority="27" operator="containsText" text="Testing">
      <formula>NOT(ISERROR(SEARCH(("Testing"),(G14))))</formula>
    </cfRule>
  </conditionalFormatting>
  <conditionalFormatting sqref="G14:G17">
    <cfRule type="containsText" dxfId="9" priority="28" operator="containsText" text="On Hold">
      <formula>NOT(ISERROR(SEARCH(("On Hold"),(G14))))</formula>
    </cfRule>
  </conditionalFormatting>
  <conditionalFormatting sqref="G14:G17">
    <cfRule type="containsText" dxfId="10" priority="29" operator="containsText" text="Complete">
      <formula>NOT(ISERROR(SEARCH(("Complete"),(G14))))</formula>
    </cfRule>
  </conditionalFormatting>
  <conditionalFormatting sqref="G14:G17">
    <cfRule type="containsText" dxfId="11" priority="30" operator="containsText" text="Ready to Start">
      <formula>NOT(ISERROR(SEARCH(("Ready to Start"),(G14))))</formula>
    </cfRule>
  </conditionalFormatting>
  <conditionalFormatting sqref="G14:G17">
    <cfRule type="containsText" dxfId="12" priority="31" operator="containsText" text="In Progress">
      <formula>NOT(ISERROR(SEARCH(("In Progress"),(G14))))</formula>
    </cfRule>
  </conditionalFormatting>
  <conditionalFormatting sqref="E20:E23">
    <cfRule type="containsText" dxfId="5" priority="32" operator="containsText" text="Low">
      <formula>NOT(ISERROR(SEARCH(("Low"),(E20))))</formula>
    </cfRule>
  </conditionalFormatting>
  <conditionalFormatting sqref="E20:E23">
    <cfRule type="containsText" dxfId="6" priority="33" operator="containsText" text="Medium">
      <formula>NOT(ISERROR(SEARCH(("Medium"),(E20))))</formula>
    </cfRule>
  </conditionalFormatting>
  <conditionalFormatting sqref="E20:E23">
    <cfRule type="containsText" dxfId="7" priority="34" operator="containsText" text="High">
      <formula>NOT(ISERROR(SEARCH(("High"),(E20))))</formula>
    </cfRule>
  </conditionalFormatting>
  <conditionalFormatting sqref="G20:G23">
    <cfRule type="containsText" dxfId="8" priority="35" operator="containsText" text="Testing">
      <formula>NOT(ISERROR(SEARCH(("Testing"),(G20))))</formula>
    </cfRule>
  </conditionalFormatting>
  <conditionalFormatting sqref="G20:G23">
    <cfRule type="containsText" dxfId="9" priority="36" operator="containsText" text="On Hold">
      <formula>NOT(ISERROR(SEARCH(("On Hold"),(G20))))</formula>
    </cfRule>
  </conditionalFormatting>
  <conditionalFormatting sqref="G20:G23">
    <cfRule type="containsText" dxfId="10" priority="37" operator="containsText" text="Complete">
      <formula>NOT(ISERROR(SEARCH(("Complete"),(G20))))</formula>
    </cfRule>
  </conditionalFormatting>
  <conditionalFormatting sqref="G20:G23">
    <cfRule type="containsText" dxfId="11" priority="38" operator="containsText" text="Ready to Start">
      <formula>NOT(ISERROR(SEARCH(("Ready to Start"),(G20))))</formula>
    </cfRule>
  </conditionalFormatting>
  <conditionalFormatting sqref="G20:G23">
    <cfRule type="containsText" dxfId="12" priority="39" operator="containsText" text="In Progress">
      <formula>NOT(ISERROR(SEARCH(("In Progress"),(G20))))</formula>
    </cfRule>
  </conditionalFormatting>
  <dataValidations>
    <dataValidation type="list" allowBlank="1" showErrorMessage="1" sqref="E8:E11 E14:E17 E20:E23 E26:E28 E33">
      <formula1>'Dropdown Keys - DO NOT DELETE'!$D$4:$D$7</formula1>
    </dataValidation>
    <dataValidation type="list" allowBlank="1" showErrorMessage="1" sqref="G8:G11 G14:G17 G20:G23 G26:G28 G33">
      <formula1>'Dropdown Keys - DO NOT DELETE'!$F$4:$F$9</formula1>
    </dataValidation>
  </dataValidations>
  <hyperlinks>
    <hyperlink r:id="rId1" ref="D4"/>
    <hyperlink r:id="rId2" ref="D5"/>
  </hyperlinks>
  <printOptions/>
  <pageMargins bottom="0.75" footer="0.0" header="0.0" left="0.7" right="0.7" top="0.75"/>
  <pageSetup fitToHeight="0" paperSize="3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5.71"/>
    <col customWidth="1" min="3" max="3" width="22.86"/>
    <col customWidth="1" min="4" max="4" width="47.0"/>
    <col customWidth="1" min="5" max="5" width="27.71"/>
    <col customWidth="1" min="6" max="6" width="26.14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69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70</v>
      </c>
      <c r="C3" s="8"/>
      <c r="D3" s="9">
        <v>45551.0</v>
      </c>
      <c r="E3" s="7">
        <v>1.0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0" customHeight="1">
      <c r="A4" s="6"/>
      <c r="B4" s="12" t="s">
        <v>7</v>
      </c>
      <c r="C4" s="8"/>
      <c r="D4" s="13" t="s">
        <v>71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5.5" customHeight="1">
      <c r="A5" s="6"/>
      <c r="B5" s="12" t="s">
        <v>9</v>
      </c>
      <c r="C5" s="8"/>
      <c r="D5" s="13" t="s">
        <v>71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45552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72</v>
      </c>
      <c r="D8" s="21" t="s">
        <v>73</v>
      </c>
      <c r="E8" s="20" t="s">
        <v>21</v>
      </c>
      <c r="F8" s="22" t="s">
        <v>74</v>
      </c>
      <c r="G8" s="20" t="s">
        <v>32</v>
      </c>
      <c r="H8" s="22" t="s">
        <v>75</v>
      </c>
    </row>
    <row r="9" ht="21.75" customHeight="1">
      <c r="B9" s="20">
        <v>2.0</v>
      </c>
      <c r="C9" s="21" t="s">
        <v>76</v>
      </c>
      <c r="D9" s="21" t="s">
        <v>77</v>
      </c>
      <c r="E9" s="20" t="s">
        <v>36</v>
      </c>
      <c r="F9" s="22" t="s">
        <v>78</v>
      </c>
      <c r="G9" s="20" t="s">
        <v>79</v>
      </c>
      <c r="H9" s="22"/>
    </row>
    <row r="10" ht="21.75" customHeight="1">
      <c r="B10" s="20">
        <v>3.0</v>
      </c>
      <c r="C10" s="21" t="s">
        <v>80</v>
      </c>
      <c r="D10" s="21" t="s">
        <v>81</v>
      </c>
      <c r="E10" s="20" t="s">
        <v>82</v>
      </c>
      <c r="F10" s="22" t="s">
        <v>83</v>
      </c>
      <c r="G10" s="20" t="s">
        <v>32</v>
      </c>
      <c r="H10" s="22" t="s">
        <v>84</v>
      </c>
    </row>
    <row r="11" ht="21.75" customHeight="1">
      <c r="B11" s="20">
        <v>4.0</v>
      </c>
      <c r="C11" s="21" t="s">
        <v>85</v>
      </c>
      <c r="D11" s="21" t="s">
        <v>86</v>
      </c>
      <c r="E11" s="20" t="s">
        <v>36</v>
      </c>
      <c r="F11" s="22" t="s">
        <v>87</v>
      </c>
      <c r="G11" s="20" t="s">
        <v>55</v>
      </c>
      <c r="H11" s="22"/>
    </row>
    <row r="12" ht="21.75" customHeight="1">
      <c r="B12" s="20">
        <v>5.0</v>
      </c>
      <c r="C12" s="21" t="s">
        <v>88</v>
      </c>
      <c r="D12" s="21" t="s">
        <v>89</v>
      </c>
      <c r="E12" s="20" t="s">
        <v>36</v>
      </c>
      <c r="F12" s="22" t="s">
        <v>83</v>
      </c>
      <c r="G12" s="20" t="s">
        <v>32</v>
      </c>
      <c r="H12" s="22"/>
    </row>
    <row r="13" ht="21.75" customHeight="1">
      <c r="B13" s="20">
        <v>6.0</v>
      </c>
      <c r="C13" s="21" t="s">
        <v>90</v>
      </c>
      <c r="D13" s="21" t="s">
        <v>91</v>
      </c>
      <c r="E13" s="20" t="s">
        <v>21</v>
      </c>
      <c r="F13" s="22" t="s">
        <v>92</v>
      </c>
      <c r="G13" s="20" t="s">
        <v>55</v>
      </c>
      <c r="H13" s="22"/>
    </row>
    <row r="14" ht="21.75" customHeight="1">
      <c r="B14" s="20">
        <v>7.0</v>
      </c>
      <c r="C14" s="21" t="s">
        <v>90</v>
      </c>
      <c r="D14" s="21" t="s">
        <v>93</v>
      </c>
      <c r="E14" s="20" t="s">
        <v>36</v>
      </c>
      <c r="F14" s="22" t="s">
        <v>94</v>
      </c>
      <c r="G14" s="20" t="s">
        <v>23</v>
      </c>
      <c r="H14" s="22"/>
    </row>
    <row r="15" ht="21.75" customHeight="1">
      <c r="B15" s="20">
        <v>8.0</v>
      </c>
      <c r="C15" s="21" t="s">
        <v>88</v>
      </c>
      <c r="D15" s="21" t="s">
        <v>95</v>
      </c>
      <c r="E15" s="20" t="s">
        <v>36</v>
      </c>
      <c r="F15" s="22" t="s">
        <v>83</v>
      </c>
      <c r="G15" s="20" t="s">
        <v>32</v>
      </c>
      <c r="H15" s="22"/>
    </row>
    <row r="16" ht="21.75" customHeight="1">
      <c r="B16" s="20">
        <v>9.0</v>
      </c>
      <c r="C16" s="21" t="s">
        <v>88</v>
      </c>
      <c r="D16" s="21" t="s">
        <v>96</v>
      </c>
      <c r="E16" s="20" t="s">
        <v>21</v>
      </c>
      <c r="F16" s="22" t="s">
        <v>87</v>
      </c>
      <c r="G16" s="20" t="s">
        <v>55</v>
      </c>
      <c r="H16" s="22"/>
    </row>
    <row r="17" ht="21.75" customHeight="1">
      <c r="B17" s="20">
        <v>10.0</v>
      </c>
      <c r="C17" s="21"/>
      <c r="D17" s="21"/>
      <c r="E17" s="20" t="s">
        <v>21</v>
      </c>
      <c r="F17" s="22"/>
      <c r="G17" s="20" t="s">
        <v>45</v>
      </c>
      <c r="H17" s="22"/>
    </row>
    <row r="18" ht="47.25" customHeight="1">
      <c r="B18" s="16" t="s">
        <v>39</v>
      </c>
      <c r="C18" s="17">
        <f>D3+2</f>
        <v>45553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72</v>
      </c>
      <c r="D20" s="21" t="s">
        <v>73</v>
      </c>
      <c r="E20" s="20" t="s">
        <v>21</v>
      </c>
      <c r="F20" s="22" t="s">
        <v>97</v>
      </c>
      <c r="G20" s="20" t="s">
        <v>45</v>
      </c>
      <c r="H20" s="22" t="s">
        <v>98</v>
      </c>
    </row>
    <row r="21" ht="21.75" customHeight="1">
      <c r="B21" s="20">
        <v>2.0</v>
      </c>
      <c r="C21" s="21" t="s">
        <v>76</v>
      </c>
      <c r="D21" s="21" t="s">
        <v>77</v>
      </c>
      <c r="E21" s="20" t="s">
        <v>36</v>
      </c>
      <c r="F21" s="22" t="s">
        <v>99</v>
      </c>
      <c r="G21" s="20" t="s">
        <v>32</v>
      </c>
      <c r="H21" s="22" t="s">
        <v>100</v>
      </c>
    </row>
    <row r="22" ht="21.75" customHeight="1">
      <c r="B22" s="20">
        <v>3.0</v>
      </c>
      <c r="C22" s="21" t="s">
        <v>80</v>
      </c>
      <c r="D22" s="21" t="s">
        <v>81</v>
      </c>
      <c r="E22" s="20" t="s">
        <v>82</v>
      </c>
      <c r="F22" s="22" t="s">
        <v>101</v>
      </c>
      <c r="G22" s="20" t="s">
        <v>23</v>
      </c>
      <c r="H22" s="22" t="s">
        <v>102</v>
      </c>
    </row>
    <row r="23" ht="21.75" customHeight="1">
      <c r="B23" s="20">
        <v>4.0</v>
      </c>
      <c r="C23" s="21" t="s">
        <v>85</v>
      </c>
      <c r="D23" s="21" t="s">
        <v>86</v>
      </c>
      <c r="E23" s="20" t="s">
        <v>36</v>
      </c>
      <c r="F23" s="22" t="s">
        <v>103</v>
      </c>
      <c r="G23" s="20" t="s">
        <v>55</v>
      </c>
      <c r="H23" s="22" t="s">
        <v>104</v>
      </c>
    </row>
    <row r="24" ht="21.75" customHeight="1">
      <c r="B24" s="20">
        <v>5.0</v>
      </c>
      <c r="C24" s="21" t="s">
        <v>88</v>
      </c>
      <c r="D24" s="21" t="s">
        <v>89</v>
      </c>
      <c r="E24" s="20" t="s">
        <v>36</v>
      </c>
      <c r="F24" s="22"/>
      <c r="G24" s="20" t="s">
        <v>45</v>
      </c>
      <c r="H24" s="22"/>
    </row>
    <row r="25" ht="21.75" customHeight="1">
      <c r="B25" s="20">
        <v>6.0</v>
      </c>
      <c r="C25" s="21" t="s">
        <v>90</v>
      </c>
      <c r="D25" s="21" t="s">
        <v>91</v>
      </c>
      <c r="E25" s="20" t="s">
        <v>21</v>
      </c>
      <c r="F25" s="22"/>
      <c r="G25" s="20" t="s">
        <v>32</v>
      </c>
      <c r="H25" s="22"/>
    </row>
    <row r="26" ht="21.75" customHeight="1">
      <c r="B26" s="20">
        <v>7.0</v>
      </c>
      <c r="C26" s="21" t="s">
        <v>90</v>
      </c>
      <c r="D26" s="21" t="s">
        <v>93</v>
      </c>
      <c r="E26" s="20" t="s">
        <v>36</v>
      </c>
      <c r="F26" s="22"/>
      <c r="G26" s="20" t="s">
        <v>55</v>
      </c>
      <c r="H26" s="22"/>
    </row>
    <row r="27" ht="21.75" customHeight="1">
      <c r="B27" s="20">
        <v>8.0</v>
      </c>
      <c r="C27" s="21" t="s">
        <v>88</v>
      </c>
      <c r="D27" s="21" t="s">
        <v>95</v>
      </c>
      <c r="E27" s="20" t="s">
        <v>36</v>
      </c>
      <c r="F27" s="22"/>
      <c r="G27" s="20" t="s">
        <v>55</v>
      </c>
      <c r="H27" s="22"/>
    </row>
    <row r="28" ht="21.75" customHeight="1">
      <c r="B28" s="20">
        <v>9.0</v>
      </c>
      <c r="C28" s="21" t="s">
        <v>88</v>
      </c>
      <c r="D28" s="21" t="s">
        <v>96</v>
      </c>
      <c r="E28" s="20" t="s">
        <v>21</v>
      </c>
      <c r="F28" s="22"/>
      <c r="G28" s="20" t="s">
        <v>79</v>
      </c>
      <c r="H28" s="22"/>
    </row>
    <row r="29" ht="21.75" customHeight="1">
      <c r="B29" s="20">
        <v>10.0</v>
      </c>
      <c r="C29" s="21"/>
      <c r="D29" s="21"/>
      <c r="E29" s="20" t="s">
        <v>21</v>
      </c>
      <c r="F29" s="22"/>
      <c r="G29" s="20" t="s">
        <v>45</v>
      </c>
      <c r="H29" s="22"/>
    </row>
    <row r="30" ht="47.25" customHeight="1">
      <c r="B30" s="23" t="s">
        <v>49</v>
      </c>
      <c r="C30" s="17">
        <f>D3+3</f>
        <v>45554</v>
      </c>
      <c r="D30" s="18"/>
      <c r="E30" s="18"/>
      <c r="F30" s="18"/>
      <c r="G30" s="18"/>
      <c r="H30" s="18"/>
    </row>
    <row r="31" ht="27.0" customHeight="1">
      <c r="B31" s="19" t="s">
        <v>12</v>
      </c>
      <c r="C31" s="19" t="s">
        <v>13</v>
      </c>
      <c r="D31" s="19" t="s">
        <v>14</v>
      </c>
      <c r="E31" s="19" t="s">
        <v>15</v>
      </c>
      <c r="F31" s="19" t="s">
        <v>16</v>
      </c>
      <c r="G31" s="19" t="s">
        <v>17</v>
      </c>
      <c r="H31" s="19" t="s">
        <v>18</v>
      </c>
    </row>
    <row r="32" ht="21.75" customHeight="1">
      <c r="B32" s="20">
        <v>1.0</v>
      </c>
      <c r="C32" s="21" t="s">
        <v>72</v>
      </c>
      <c r="D32" s="21" t="s">
        <v>73</v>
      </c>
      <c r="E32" s="20" t="s">
        <v>21</v>
      </c>
      <c r="F32" s="22" t="s">
        <v>97</v>
      </c>
      <c r="G32" s="20" t="s">
        <v>45</v>
      </c>
      <c r="H32" s="22" t="s">
        <v>98</v>
      </c>
    </row>
    <row r="33" ht="21.75" customHeight="1">
      <c r="B33" s="20">
        <v>2.0</v>
      </c>
      <c r="C33" s="21" t="s">
        <v>76</v>
      </c>
      <c r="D33" s="21" t="s">
        <v>77</v>
      </c>
      <c r="E33" s="20" t="s">
        <v>36</v>
      </c>
      <c r="F33" s="22" t="s">
        <v>99</v>
      </c>
      <c r="G33" s="20" t="s">
        <v>32</v>
      </c>
      <c r="H33" s="22" t="s">
        <v>100</v>
      </c>
    </row>
    <row r="34" ht="21.75" customHeight="1">
      <c r="B34" s="20">
        <v>3.0</v>
      </c>
      <c r="C34" s="21" t="s">
        <v>80</v>
      </c>
      <c r="D34" s="21" t="s">
        <v>81</v>
      </c>
      <c r="E34" s="20" t="s">
        <v>82</v>
      </c>
      <c r="F34" s="22" t="s">
        <v>101</v>
      </c>
      <c r="G34" s="20" t="s">
        <v>23</v>
      </c>
      <c r="H34" s="22" t="s">
        <v>102</v>
      </c>
    </row>
    <row r="35" ht="21.75" customHeight="1">
      <c r="B35" s="20">
        <v>4.0</v>
      </c>
      <c r="C35" s="21" t="s">
        <v>85</v>
      </c>
      <c r="D35" s="21" t="s">
        <v>86</v>
      </c>
      <c r="E35" s="20" t="s">
        <v>36</v>
      </c>
      <c r="F35" s="22" t="s">
        <v>103</v>
      </c>
      <c r="G35" s="20" t="s">
        <v>55</v>
      </c>
      <c r="H35" s="22" t="s">
        <v>104</v>
      </c>
    </row>
    <row r="36" ht="21.75" customHeight="1">
      <c r="B36" s="20">
        <v>5.0</v>
      </c>
      <c r="C36" s="21" t="s">
        <v>88</v>
      </c>
      <c r="D36" s="21" t="s">
        <v>89</v>
      </c>
      <c r="E36" s="20" t="s">
        <v>36</v>
      </c>
      <c r="F36" s="22"/>
      <c r="G36" s="20" t="s">
        <v>45</v>
      </c>
      <c r="H36" s="22"/>
    </row>
    <row r="37" ht="21.75" customHeight="1">
      <c r="B37" s="20">
        <v>6.0</v>
      </c>
      <c r="C37" s="21" t="s">
        <v>90</v>
      </c>
      <c r="D37" s="21" t="s">
        <v>91</v>
      </c>
      <c r="E37" s="20" t="s">
        <v>21</v>
      </c>
      <c r="F37" s="22"/>
      <c r="G37" s="20" t="s">
        <v>32</v>
      </c>
      <c r="H37" s="22"/>
    </row>
    <row r="38" ht="21.75" customHeight="1">
      <c r="B38" s="20">
        <v>7.0</v>
      </c>
      <c r="C38" s="21" t="s">
        <v>90</v>
      </c>
      <c r="D38" s="21" t="s">
        <v>93</v>
      </c>
      <c r="E38" s="20" t="s">
        <v>36</v>
      </c>
      <c r="F38" s="22"/>
      <c r="G38" s="20" t="s">
        <v>55</v>
      </c>
      <c r="H38" s="22"/>
    </row>
    <row r="39" ht="21.75" customHeight="1">
      <c r="B39" s="20">
        <v>8.0</v>
      </c>
      <c r="C39" s="21" t="s">
        <v>88</v>
      </c>
      <c r="D39" s="21" t="s">
        <v>95</v>
      </c>
      <c r="E39" s="20" t="s">
        <v>36</v>
      </c>
      <c r="F39" s="22"/>
      <c r="G39" s="20" t="s">
        <v>55</v>
      </c>
      <c r="H39" s="22"/>
    </row>
    <row r="40" ht="21.75" customHeight="1">
      <c r="B40" s="20">
        <v>9.0</v>
      </c>
      <c r="C40" s="21" t="s">
        <v>88</v>
      </c>
      <c r="D40" s="21" t="s">
        <v>96</v>
      </c>
      <c r="E40" s="20" t="s">
        <v>21</v>
      </c>
      <c r="F40" s="22"/>
      <c r="G40" s="20" t="s">
        <v>79</v>
      </c>
      <c r="H40" s="22"/>
    </row>
    <row r="41" ht="21.75" customHeight="1">
      <c r="B41" s="20">
        <v>10.0</v>
      </c>
      <c r="C41" s="21"/>
      <c r="D41" s="21"/>
      <c r="E41" s="20" t="s">
        <v>21</v>
      </c>
      <c r="F41" s="22"/>
      <c r="G41" s="20" t="s">
        <v>45</v>
      </c>
      <c r="H41" s="22"/>
    </row>
    <row r="42" ht="47.25" customHeight="1">
      <c r="B42" s="16" t="s">
        <v>59</v>
      </c>
      <c r="C42" s="17">
        <f>D3+4</f>
        <v>45555</v>
      </c>
      <c r="D42" s="18"/>
      <c r="E42" s="18"/>
      <c r="F42" s="18"/>
      <c r="G42" s="18"/>
      <c r="H42" s="18"/>
    </row>
    <row r="43" ht="27.0" customHeight="1">
      <c r="B43" s="19" t="s">
        <v>12</v>
      </c>
      <c r="C43" s="19" t="s">
        <v>13</v>
      </c>
      <c r="D43" s="19" t="s">
        <v>14</v>
      </c>
      <c r="E43" s="19" t="s">
        <v>15</v>
      </c>
      <c r="F43" s="19" t="s">
        <v>16</v>
      </c>
      <c r="G43" s="19" t="s">
        <v>17</v>
      </c>
      <c r="H43" s="19" t="s">
        <v>18</v>
      </c>
    </row>
    <row r="44" ht="21.75" customHeight="1">
      <c r="B44" s="20">
        <v>1.0</v>
      </c>
      <c r="C44" s="21" t="s">
        <v>72</v>
      </c>
      <c r="D44" s="21" t="s">
        <v>73</v>
      </c>
      <c r="E44" s="20" t="s">
        <v>21</v>
      </c>
      <c r="F44" s="22" t="s">
        <v>97</v>
      </c>
      <c r="G44" s="20" t="s">
        <v>45</v>
      </c>
      <c r="H44" s="22" t="s">
        <v>98</v>
      </c>
    </row>
    <row r="45" ht="21.75" customHeight="1">
      <c r="B45" s="20">
        <v>2.0</v>
      </c>
      <c r="C45" s="21" t="s">
        <v>76</v>
      </c>
      <c r="D45" s="21" t="s">
        <v>77</v>
      </c>
      <c r="E45" s="20" t="s">
        <v>36</v>
      </c>
      <c r="F45" s="22" t="s">
        <v>99</v>
      </c>
      <c r="G45" s="20" t="s">
        <v>32</v>
      </c>
      <c r="H45" s="22" t="s">
        <v>100</v>
      </c>
    </row>
    <row r="46" ht="21.75" customHeight="1">
      <c r="B46" s="20">
        <v>3.0</v>
      </c>
      <c r="C46" s="21" t="s">
        <v>80</v>
      </c>
      <c r="D46" s="21" t="s">
        <v>81</v>
      </c>
      <c r="E46" s="20" t="s">
        <v>82</v>
      </c>
      <c r="F46" s="22" t="s">
        <v>101</v>
      </c>
      <c r="G46" s="20" t="s">
        <v>23</v>
      </c>
      <c r="H46" s="22" t="s">
        <v>102</v>
      </c>
    </row>
    <row r="47" ht="21.75" customHeight="1">
      <c r="B47" s="20">
        <v>4.0</v>
      </c>
      <c r="C47" s="21" t="s">
        <v>85</v>
      </c>
      <c r="D47" s="21" t="s">
        <v>86</v>
      </c>
      <c r="E47" s="20" t="s">
        <v>36</v>
      </c>
      <c r="F47" s="22" t="s">
        <v>103</v>
      </c>
      <c r="G47" s="20" t="s">
        <v>55</v>
      </c>
      <c r="H47" s="22" t="s">
        <v>104</v>
      </c>
    </row>
    <row r="48" ht="21.75" customHeight="1">
      <c r="B48" s="20">
        <v>5.0</v>
      </c>
      <c r="C48" s="21" t="s">
        <v>88</v>
      </c>
      <c r="D48" s="21" t="s">
        <v>89</v>
      </c>
      <c r="E48" s="20" t="s">
        <v>36</v>
      </c>
      <c r="F48" s="22"/>
      <c r="G48" s="20" t="s">
        <v>45</v>
      </c>
      <c r="H48" s="22"/>
    </row>
    <row r="49" ht="21.75" customHeight="1">
      <c r="B49" s="20">
        <v>6.0</v>
      </c>
      <c r="C49" s="21" t="s">
        <v>90</v>
      </c>
      <c r="D49" s="21" t="s">
        <v>91</v>
      </c>
      <c r="E49" s="20" t="s">
        <v>21</v>
      </c>
      <c r="F49" s="22"/>
      <c r="G49" s="20" t="s">
        <v>32</v>
      </c>
      <c r="H49" s="22"/>
    </row>
    <row r="50" ht="21.75" customHeight="1">
      <c r="B50" s="20">
        <v>7.0</v>
      </c>
      <c r="C50" s="21" t="s">
        <v>90</v>
      </c>
      <c r="D50" s="21" t="s">
        <v>93</v>
      </c>
      <c r="E50" s="20" t="s">
        <v>36</v>
      </c>
      <c r="F50" s="22"/>
      <c r="G50" s="20" t="s">
        <v>55</v>
      </c>
      <c r="H50" s="22"/>
    </row>
    <row r="51" ht="21.75" customHeight="1">
      <c r="B51" s="20">
        <v>8.0</v>
      </c>
      <c r="C51" s="21" t="s">
        <v>88</v>
      </c>
      <c r="D51" s="21" t="s">
        <v>95</v>
      </c>
      <c r="E51" s="20" t="s">
        <v>36</v>
      </c>
      <c r="F51" s="22"/>
      <c r="G51" s="20" t="s">
        <v>55</v>
      </c>
      <c r="H51" s="22"/>
    </row>
    <row r="52" ht="21.75" customHeight="1">
      <c r="B52" s="20">
        <v>9.0</v>
      </c>
      <c r="C52" s="21" t="s">
        <v>88</v>
      </c>
      <c r="D52" s="21" t="s">
        <v>96</v>
      </c>
      <c r="E52" s="20" t="s">
        <v>21</v>
      </c>
      <c r="F52" s="22"/>
      <c r="G52" s="20" t="s">
        <v>79</v>
      </c>
      <c r="H52" s="22"/>
    </row>
    <row r="53" ht="21.75" customHeight="1">
      <c r="B53" s="20">
        <v>10.0</v>
      </c>
      <c r="C53" s="21"/>
      <c r="D53" s="21"/>
      <c r="E53" s="20" t="s">
        <v>21</v>
      </c>
      <c r="F53" s="22"/>
      <c r="G53" s="20" t="s">
        <v>45</v>
      </c>
      <c r="H53" s="22"/>
    </row>
    <row r="54" ht="47.25" customHeight="1">
      <c r="B54" s="16" t="s">
        <v>67</v>
      </c>
      <c r="C54" s="17">
        <f>D3+5</f>
        <v>45556</v>
      </c>
      <c r="D54" s="18"/>
      <c r="E54" s="18"/>
      <c r="F54" s="18"/>
      <c r="G54" s="18"/>
      <c r="H54" s="18"/>
    </row>
    <row r="55" ht="27.0" customHeight="1">
      <c r="B55" s="19" t="s">
        <v>12</v>
      </c>
      <c r="C55" s="19" t="s">
        <v>13</v>
      </c>
      <c r="D55" s="19" t="s">
        <v>14</v>
      </c>
      <c r="E55" s="19" t="s">
        <v>15</v>
      </c>
      <c r="F55" s="19" t="s">
        <v>16</v>
      </c>
      <c r="G55" s="19" t="s">
        <v>17</v>
      </c>
      <c r="H55" s="19" t="s">
        <v>18</v>
      </c>
    </row>
    <row r="56" ht="21.75" customHeight="1">
      <c r="B56" s="20">
        <v>1.0</v>
      </c>
      <c r="C56" s="21" t="s">
        <v>72</v>
      </c>
      <c r="D56" s="21" t="s">
        <v>73</v>
      </c>
      <c r="E56" s="20" t="s">
        <v>21</v>
      </c>
      <c r="F56" s="22" t="s">
        <v>97</v>
      </c>
      <c r="G56" s="20" t="s">
        <v>45</v>
      </c>
      <c r="H56" s="22" t="s">
        <v>98</v>
      </c>
    </row>
    <row r="57" ht="21.75" customHeight="1">
      <c r="B57" s="20">
        <v>2.0</v>
      </c>
      <c r="C57" s="21" t="s">
        <v>76</v>
      </c>
      <c r="D57" s="21" t="s">
        <v>77</v>
      </c>
      <c r="E57" s="20" t="s">
        <v>36</v>
      </c>
      <c r="F57" s="22" t="s">
        <v>99</v>
      </c>
      <c r="G57" s="20" t="s">
        <v>32</v>
      </c>
      <c r="H57" s="22" t="s">
        <v>100</v>
      </c>
    </row>
    <row r="58" ht="21.75" customHeight="1">
      <c r="B58" s="20">
        <v>3.0</v>
      </c>
      <c r="C58" s="21" t="s">
        <v>80</v>
      </c>
      <c r="D58" s="21" t="s">
        <v>81</v>
      </c>
      <c r="E58" s="20" t="s">
        <v>82</v>
      </c>
      <c r="F58" s="22" t="s">
        <v>101</v>
      </c>
      <c r="G58" s="20" t="s">
        <v>23</v>
      </c>
      <c r="H58" s="22" t="s">
        <v>102</v>
      </c>
    </row>
    <row r="59" ht="21.75" customHeight="1">
      <c r="B59" s="20">
        <v>4.0</v>
      </c>
      <c r="C59" s="21" t="s">
        <v>85</v>
      </c>
      <c r="D59" s="21" t="s">
        <v>86</v>
      </c>
      <c r="E59" s="20" t="s">
        <v>36</v>
      </c>
      <c r="F59" s="22" t="s">
        <v>103</v>
      </c>
      <c r="G59" s="20" t="s">
        <v>55</v>
      </c>
      <c r="H59" s="22" t="s">
        <v>104</v>
      </c>
    </row>
    <row r="60" ht="21.75" customHeight="1">
      <c r="B60" s="20">
        <v>5.0</v>
      </c>
      <c r="C60" s="21" t="s">
        <v>88</v>
      </c>
      <c r="D60" s="21" t="s">
        <v>89</v>
      </c>
      <c r="E60" s="20" t="s">
        <v>36</v>
      </c>
      <c r="F60" s="22"/>
      <c r="G60" s="20" t="s">
        <v>45</v>
      </c>
      <c r="H60" s="22"/>
    </row>
    <row r="61" ht="21.75" customHeight="1">
      <c r="B61" s="20">
        <v>6.0</v>
      </c>
      <c r="C61" s="21" t="s">
        <v>90</v>
      </c>
      <c r="D61" s="21" t="s">
        <v>91</v>
      </c>
      <c r="E61" s="20" t="s">
        <v>21</v>
      </c>
      <c r="F61" s="22"/>
      <c r="G61" s="20" t="s">
        <v>32</v>
      </c>
      <c r="H61" s="22"/>
    </row>
    <row r="62" ht="21.75" customHeight="1">
      <c r="B62" s="20">
        <v>7.0</v>
      </c>
      <c r="C62" s="21" t="s">
        <v>90</v>
      </c>
      <c r="D62" s="21" t="s">
        <v>93</v>
      </c>
      <c r="E62" s="20" t="s">
        <v>36</v>
      </c>
      <c r="F62" s="22"/>
      <c r="G62" s="20" t="s">
        <v>55</v>
      </c>
      <c r="H62" s="22"/>
    </row>
    <row r="63" ht="21.75" customHeight="1">
      <c r="B63" s="20">
        <v>8.0</v>
      </c>
      <c r="C63" s="21" t="s">
        <v>88</v>
      </c>
      <c r="D63" s="21" t="s">
        <v>95</v>
      </c>
      <c r="E63" s="20" t="s">
        <v>36</v>
      </c>
      <c r="F63" s="22"/>
      <c r="G63" s="20" t="s">
        <v>55</v>
      </c>
      <c r="H63" s="22"/>
    </row>
    <row r="64" ht="21.75" customHeight="1">
      <c r="B64" s="20">
        <v>9.0</v>
      </c>
      <c r="C64" s="21" t="s">
        <v>88</v>
      </c>
      <c r="D64" s="21" t="s">
        <v>96</v>
      </c>
      <c r="E64" s="20" t="s">
        <v>21</v>
      </c>
      <c r="F64" s="22"/>
      <c r="G64" s="20" t="s">
        <v>79</v>
      </c>
      <c r="H64" s="22"/>
    </row>
    <row r="65" ht="21.75" customHeight="1">
      <c r="B65" s="20">
        <v>10.0</v>
      </c>
      <c r="C65" s="21"/>
      <c r="D65" s="21"/>
      <c r="E65" s="20" t="s">
        <v>21</v>
      </c>
      <c r="F65" s="22"/>
      <c r="G65" s="20" t="s">
        <v>45</v>
      </c>
      <c r="H65" s="22"/>
    </row>
    <row r="66" ht="15.0" customHeight="1">
      <c r="B66" s="32"/>
      <c r="C66" s="33"/>
      <c r="D66" s="33"/>
      <c r="E66" s="32"/>
      <c r="F66" s="34"/>
      <c r="G66" s="32"/>
      <c r="H66" s="3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C4"/>
    <mergeCell ref="B5:C5"/>
    <mergeCell ref="B2:C2"/>
    <mergeCell ref="E2:F2"/>
    <mergeCell ref="G2:H2"/>
    <mergeCell ref="B3:C3"/>
    <mergeCell ref="E3:F3"/>
    <mergeCell ref="G3:H3"/>
    <mergeCell ref="D4:H4"/>
    <mergeCell ref="D5:H5"/>
  </mergeCells>
  <conditionalFormatting sqref="B8:B17 B20:B29 B32:B41 B44:B53 B56:B66">
    <cfRule type="containsText" dxfId="0" priority="1" operator="containsText" text="Update">
      <formula>NOT(ISERROR(SEARCH(("Update"),(B8))))</formula>
    </cfRule>
  </conditionalFormatting>
  <conditionalFormatting sqref="B8:B17 B20:B29 B32:B41 B44:B53 B56:B66">
    <cfRule type="containsText" dxfId="1" priority="2" operator="containsText" text="Task">
      <formula>NOT(ISERROR(SEARCH(("Task"),(B8))))</formula>
    </cfRule>
  </conditionalFormatting>
  <conditionalFormatting sqref="B8:B17 B20:B29 B32:B41 B44:B53 B56:B66">
    <cfRule type="containsText" dxfId="2" priority="3" operator="containsText" text="Content">
      <formula>NOT(ISERROR(SEARCH(("Content"),(B8))))</formula>
    </cfRule>
  </conditionalFormatting>
  <conditionalFormatting sqref="B8:B17 B20:B29 B32:B41 B44:B53 B56:B66">
    <cfRule type="containsText" dxfId="3" priority="4" operator="containsText" text="Feature">
      <formula>NOT(ISERROR(SEARCH(("Feature"),(B8))))</formula>
    </cfRule>
  </conditionalFormatting>
  <conditionalFormatting sqref="B8:B17 B20:B29 B32:B41 B44:B53 B56:B66">
    <cfRule type="containsText" dxfId="4" priority="5" operator="containsText" text="Research">
      <formula>NOT(ISERROR(SEARCH(("Research"),(B8))))</formula>
    </cfRule>
  </conditionalFormatting>
  <conditionalFormatting sqref="E8:E17 E20:E29 E32:E41 E44:E53 E56:E66">
    <cfRule type="containsText" dxfId="5" priority="6" operator="containsText" text="Low">
      <formula>NOT(ISERROR(SEARCH(("Low"),(E8))))</formula>
    </cfRule>
  </conditionalFormatting>
  <conditionalFormatting sqref="E8:E17 E20:E29 E32:E41 E44:E53 E56:E66">
    <cfRule type="containsText" dxfId="6" priority="7" operator="containsText" text="Medium">
      <formula>NOT(ISERROR(SEARCH(("Medium"),(E8))))</formula>
    </cfRule>
  </conditionalFormatting>
  <conditionalFormatting sqref="E8:E17 E20:E29 E32:E41 E44:E53 E56:E66">
    <cfRule type="containsText" dxfId="7" priority="8" operator="containsText" text="High">
      <formula>NOT(ISERROR(SEARCH(("High"),(E8))))</formula>
    </cfRule>
  </conditionalFormatting>
  <conditionalFormatting sqref="G8:G17 G20:G29 G32:G41 G44:G53 G56:G66">
    <cfRule type="containsText" dxfId="8" priority="9" operator="containsText" text="Testing">
      <formula>NOT(ISERROR(SEARCH(("Testing"),(G8))))</formula>
    </cfRule>
  </conditionalFormatting>
  <conditionalFormatting sqref="G8:G17 G20:G29 G32:G41 G44:G53 G56:G66">
    <cfRule type="containsText" dxfId="9" priority="10" operator="containsText" text="On Hold">
      <formula>NOT(ISERROR(SEARCH(("On Hold"),(G8))))</formula>
    </cfRule>
  </conditionalFormatting>
  <conditionalFormatting sqref="G8:G17 G20:G29 G32:G41 G44:G53 G56:G66">
    <cfRule type="containsText" dxfId="10" priority="11" operator="containsText" text="Complete">
      <formula>NOT(ISERROR(SEARCH(("Complete"),(G8))))</formula>
    </cfRule>
  </conditionalFormatting>
  <conditionalFormatting sqref="G8:G17 G20:G29 G32:G41 G44:G53 G56:G66">
    <cfRule type="containsText" dxfId="11" priority="12" operator="containsText" text="Ready to Start">
      <formula>NOT(ISERROR(SEARCH(("Ready to Start"),(G8))))</formula>
    </cfRule>
  </conditionalFormatting>
  <conditionalFormatting sqref="G8:G17 G20:G29 G32:G41 G44:G53 G56:G66">
    <cfRule type="containsText" dxfId="12" priority="13" operator="containsText" text="In Progress">
      <formula>NOT(ISERROR(SEARCH(("In Progress"),(G8))))</formula>
    </cfRule>
  </conditionalFormatting>
  <dataValidations>
    <dataValidation type="list" allowBlank="1" showErrorMessage="1" sqref="E8:E17 E20:E29 E32:E41 E44:E53 E56:E66">
      <formula1>'Dropdown Keys - DO NOT DELETE'!$D$4:$D$7</formula1>
    </dataValidation>
    <dataValidation type="list" allowBlank="1" showErrorMessage="1" sqref="G8:G17 G20:G29 G32:G41 G44:G53 G56:G66">
      <formula1>'Dropdown Keys - DO NOT DELETE'!$F$4:$F$9</formula1>
    </dataValidation>
  </dataValidations>
  <hyperlinks>
    <hyperlink r:id="rId1" ref="D4"/>
    <hyperlink r:id="rId2" ref="D5"/>
  </hyperlinks>
  <printOptions horizontalCentered="1"/>
  <pageMargins bottom="0.7480314960629921" footer="0.0" header="0.0" left="0.7086614173228347" right="0.7086614173228347" top="0.7480314960629921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3.29"/>
    <col customWidth="1" min="4" max="4" width="22.71"/>
    <col customWidth="1" min="5" max="5" width="3.29"/>
    <col customWidth="1" min="6" max="6" width="22.71"/>
    <col customWidth="1" min="7" max="26" width="8.86"/>
  </cols>
  <sheetData>
    <row r="1" ht="15.0" customHeight="1">
      <c r="B1" s="35" t="s">
        <v>105</v>
      </c>
    </row>
    <row r="2" ht="27.75" customHeight="1"/>
    <row r="3" ht="21.75" customHeight="1">
      <c r="B3" s="36"/>
      <c r="C3" s="32"/>
      <c r="D3" s="37" t="s">
        <v>106</v>
      </c>
      <c r="F3" s="37" t="s">
        <v>107</v>
      </c>
    </row>
    <row r="4" ht="21.75" customHeight="1">
      <c r="B4" s="32"/>
      <c r="C4" s="32"/>
      <c r="D4" s="20" t="s">
        <v>21</v>
      </c>
      <c r="F4" s="20" t="s">
        <v>32</v>
      </c>
    </row>
    <row r="5" ht="21.75" customHeight="1">
      <c r="B5" s="38"/>
      <c r="C5" s="32"/>
      <c r="D5" s="39" t="s">
        <v>36</v>
      </c>
      <c r="F5" s="39" t="s">
        <v>23</v>
      </c>
    </row>
    <row r="6" ht="21.75" customHeight="1">
      <c r="B6" s="38"/>
      <c r="C6" s="32"/>
      <c r="D6" s="39" t="s">
        <v>82</v>
      </c>
      <c r="F6" s="40" t="s">
        <v>55</v>
      </c>
    </row>
    <row r="7" ht="21.75" customHeight="1">
      <c r="B7" s="32"/>
      <c r="C7" s="32"/>
      <c r="D7" s="41"/>
      <c r="F7" s="41" t="s">
        <v>79</v>
      </c>
    </row>
    <row r="8" ht="21.75" customHeight="1">
      <c r="B8" s="32"/>
      <c r="C8" s="32"/>
      <c r="D8" s="42"/>
      <c r="F8" s="43" t="s">
        <v>45</v>
      </c>
    </row>
    <row r="9" ht="21.75" customHeight="1">
      <c r="B9" s="32"/>
      <c r="C9" s="32"/>
      <c r="D9" s="42"/>
      <c r="F9" s="24" t="s">
        <v>108</v>
      </c>
    </row>
    <row r="10">
      <c r="B10" s="42"/>
      <c r="C10" s="32"/>
      <c r="D10" s="42"/>
      <c r="F10" s="20"/>
    </row>
    <row r="11">
      <c r="B11" s="42"/>
      <c r="C11" s="32"/>
      <c r="D11" s="42"/>
      <c r="F11" s="42"/>
    </row>
    <row r="12">
      <c r="B12" s="42"/>
      <c r="C12" s="32"/>
      <c r="D12" s="42"/>
      <c r="F12" s="42"/>
    </row>
    <row r="13">
      <c r="B13" s="42"/>
      <c r="C13" s="32"/>
      <c r="D13" s="42"/>
      <c r="F13" s="42"/>
    </row>
    <row r="14">
      <c r="B14" s="42"/>
      <c r="C14" s="32"/>
      <c r="D14" s="42"/>
      <c r="F14" s="42"/>
    </row>
    <row r="15">
      <c r="B15" s="42"/>
      <c r="C15" s="32"/>
      <c r="D15" s="42"/>
      <c r="F15" s="42"/>
    </row>
    <row r="16">
      <c r="B16" s="42"/>
      <c r="C16" s="32"/>
      <c r="D16" s="42"/>
      <c r="F16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2"/>
  </mergeCells>
  <conditionalFormatting sqref="B4:B9">
    <cfRule type="containsText" dxfId="0" priority="1" operator="containsText" text="Update">
      <formula>NOT(ISERROR(SEARCH(("Update"),(B4))))</formula>
    </cfRule>
  </conditionalFormatting>
  <conditionalFormatting sqref="B4:B9">
    <cfRule type="containsText" dxfId="1" priority="2" operator="containsText" text="Task">
      <formula>NOT(ISERROR(SEARCH(("Task"),(B4))))</formula>
    </cfRule>
  </conditionalFormatting>
  <conditionalFormatting sqref="B4:B9">
    <cfRule type="containsText" dxfId="2" priority="3" operator="containsText" text="Content">
      <formula>NOT(ISERROR(SEARCH(("Content"),(B4))))</formula>
    </cfRule>
  </conditionalFormatting>
  <conditionalFormatting sqref="B4:B9">
    <cfRule type="containsText" dxfId="3" priority="4" operator="containsText" text="Feature">
      <formula>NOT(ISERROR(SEARCH(("Feature"),(B4))))</formula>
    </cfRule>
  </conditionalFormatting>
  <conditionalFormatting sqref="B4:B9">
    <cfRule type="containsText" dxfId="4" priority="5" operator="containsText" text="Research">
      <formula>NOT(ISERROR(SEARCH(("Research"),(B4))))</formula>
    </cfRule>
  </conditionalFormatting>
  <conditionalFormatting sqref="D4:D7">
    <cfRule type="containsText" dxfId="5" priority="6" operator="containsText" text="Low">
      <formula>NOT(ISERROR(SEARCH(("Low"),(D4))))</formula>
    </cfRule>
  </conditionalFormatting>
  <conditionalFormatting sqref="D4:D7">
    <cfRule type="containsText" dxfId="6" priority="7" operator="containsText" text="Medium">
      <formula>NOT(ISERROR(SEARCH(("Medium"),(D4))))</formula>
    </cfRule>
  </conditionalFormatting>
  <conditionalFormatting sqref="D4:D7">
    <cfRule type="containsText" dxfId="7" priority="8" operator="containsText" text="High">
      <formula>NOT(ISERROR(SEARCH(("High"),(D4))))</formula>
    </cfRule>
  </conditionalFormatting>
  <conditionalFormatting sqref="F4:F10">
    <cfRule type="containsText" dxfId="8" priority="9" operator="containsText" text="Testing">
      <formula>NOT(ISERROR(SEARCH(("Testing"),(F4))))</formula>
    </cfRule>
  </conditionalFormatting>
  <conditionalFormatting sqref="F4:F10">
    <cfRule type="containsText" dxfId="9" priority="10" operator="containsText" text="On Hold">
      <formula>NOT(ISERROR(SEARCH(("On Hold"),(F4))))</formula>
    </cfRule>
  </conditionalFormatting>
  <conditionalFormatting sqref="F4:F10">
    <cfRule type="containsText" dxfId="10" priority="11" operator="containsText" text="Complete">
      <formula>NOT(ISERROR(SEARCH(("Complete"),(F4))))</formula>
    </cfRule>
  </conditionalFormatting>
  <conditionalFormatting sqref="F4:F10">
    <cfRule type="containsText" dxfId="11" priority="12" operator="containsText" text="Ready to Start">
      <formula>NOT(ISERROR(SEARCH(("Ready to Start"),(F4))))</formula>
    </cfRule>
  </conditionalFormatting>
  <conditionalFormatting sqref="F4:F10">
    <cfRule type="containsText" dxfId="12" priority="13" operator="containsText" text="In Progress">
      <formula>NOT(ISERROR(SEARCH(("In Progress"),(F4))))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