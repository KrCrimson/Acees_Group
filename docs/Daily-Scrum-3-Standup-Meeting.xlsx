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0185CF8-260E-4061-8FDE-1CBBA1F83AA8}" xr6:coauthVersionLast="47" xr6:coauthVersionMax="47" xr10:uidLastSave="{00000000-0000-0000-0000-000000000000}"/>
  <bookViews>
    <workbookView xWindow="-120" yWindow="-120" windowWidth="29040" windowHeight="15720" xr2:uid="{DA5D6E8E-4F9F-4292-B407-0BB176AAE353}"/>
  </bookViews>
  <sheets>
    <sheet name="Daily Scrum Meeting" sheetId="10" r:id="rId1"/>
    <sheet name="EXAMPLE Daily Scrum Meeting" sheetId="11" r:id="rId2"/>
    <sheet name="Dropdown Keys - DO NOT DELETE" sheetId="3" r:id="rId3"/>
  </sheets>
  <definedNames>
    <definedName name="_xlnm.Print_Area" localSheetId="0">'Daily Scrum Meeting'!$B$1:$H$47</definedName>
    <definedName name="_xlnm.Print_Area" localSheetId="1">'EXAMPLE Daily Scrum Meeting'!$A$1:$I$65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1" l="1"/>
  <c r="C42" i="11"/>
  <c r="C30" i="11"/>
  <c r="C18" i="11"/>
  <c r="C6" i="11"/>
  <c r="C45" i="10"/>
  <c r="C39" i="10"/>
  <c r="C28" i="10"/>
  <c r="C17" i="10"/>
  <c r="C6" i="10"/>
</calcChain>
</file>

<file path=xl/sharedStrings.xml><?xml version="1.0" encoding="utf-8"?>
<sst xmlns="http://schemas.openxmlformats.org/spreadsheetml/2006/main" count="529" uniqueCount="143">
  <si>
    <t>PROGRESS</t>
  </si>
  <si>
    <t>ASSIGNED TO</t>
  </si>
  <si>
    <t>KEY DROPDOWNS - DO NOT DELETE</t>
  </si>
  <si>
    <t>Research</t>
  </si>
  <si>
    <t>High</t>
  </si>
  <si>
    <t>Medium</t>
  </si>
  <si>
    <t>Low</t>
  </si>
  <si>
    <t>PRIORITY KEY</t>
  </si>
  <si>
    <t>Project Charter</t>
  </si>
  <si>
    <t>Project Charter Revisions</t>
  </si>
  <si>
    <t>Projections</t>
  </si>
  <si>
    <t>Stakeholders</t>
  </si>
  <si>
    <t>Guidelines</t>
  </si>
  <si>
    <t>Project Initiation</t>
  </si>
  <si>
    <t>Leon W</t>
  </si>
  <si>
    <t>Kylie R</t>
  </si>
  <si>
    <t>Pete S</t>
  </si>
  <si>
    <t>Steve L</t>
  </si>
  <si>
    <t>Allen W</t>
  </si>
  <si>
    <t>Malik M</t>
  </si>
  <si>
    <t>Budget</t>
  </si>
  <si>
    <t>Reason 1</t>
  </si>
  <si>
    <t>Reason 2</t>
  </si>
  <si>
    <t>Reason 3</t>
  </si>
  <si>
    <t>Reason 4</t>
  </si>
  <si>
    <t>Description 1</t>
  </si>
  <si>
    <t>Description 2</t>
  </si>
  <si>
    <t>Description 3</t>
  </si>
  <si>
    <t>Description 4</t>
  </si>
  <si>
    <t>STATUS KEY</t>
  </si>
  <si>
    <t>In Progress</t>
  </si>
  <si>
    <t>Ready to Start</t>
  </si>
  <si>
    <t>Complete</t>
  </si>
  <si>
    <t>On Hold</t>
  </si>
  <si>
    <t>Testing</t>
  </si>
  <si>
    <t>Scope and Goal Setting</t>
  </si>
  <si>
    <t>PRIORITIES</t>
  </si>
  <si>
    <t>PRIORITY LEVEL</t>
  </si>
  <si>
    <t>PROBLEMS AND COMMENTS</t>
  </si>
  <si>
    <t>GROUP NAME</t>
  </si>
  <si>
    <t>SUPERVISOR</t>
  </si>
  <si>
    <t>NO.</t>
  </si>
  <si>
    <t>Initial edits started</t>
  </si>
  <si>
    <t>Ongoing</t>
  </si>
  <si>
    <t>Need input from Team A</t>
  </si>
  <si>
    <t>Document C not currently available</t>
  </si>
  <si>
    <t>Initial edits finalized</t>
  </si>
  <si>
    <t>Not yet started</t>
  </si>
  <si>
    <t>Drafted</t>
  </si>
  <si>
    <t>WED</t>
  </si>
  <si>
    <t>TUES</t>
  </si>
  <si>
    <t>MON</t>
  </si>
  <si>
    <t>THU</t>
  </si>
  <si>
    <t>FRI</t>
  </si>
  <si>
    <t>On hold for initial edits</t>
  </si>
  <si>
    <r>
      <t xml:space="preserve">WEEK START  </t>
    </r>
    <r>
      <rPr>
        <i/>
        <sz val="10"/>
        <color theme="1" tint="0.34998626667073579"/>
        <rFont val="Century Gothic"/>
        <family val="2"/>
      </rPr>
      <t>dates below will auto populate</t>
    </r>
  </si>
  <si>
    <t>Team Alpha</t>
  </si>
  <si>
    <t>PROGRESS STATUS</t>
  </si>
  <si>
    <t>Dr. Ing. Oscar Jimenez</t>
  </si>
  <si>
    <t>Sprint</t>
  </si>
  <si>
    <t>Soluciones Móviles II - DAILY SCRUM STAND UP MEETING</t>
  </si>
  <si>
    <t>URL tablero</t>
  </si>
  <si>
    <t>URL github</t>
  </si>
  <si>
    <t>https://…</t>
  </si>
  <si>
    <t>Cesar Chavez</t>
  </si>
  <si>
    <t>Sebastian Arce</t>
  </si>
  <si>
    <t>Juan Luna</t>
  </si>
  <si>
    <t>Angel Hernandez</t>
  </si>
  <si>
    <t>Filled</t>
  </si>
  <si>
    <t>All edge cases handled</t>
  </si>
  <si>
    <t>https://github.com/Sistema-de-control-de-acceso/MovilesII.git</t>
  </si>
  <si>
    <t>https://github.com/orgs/Sistema-de-control-de-acceso/projects/8</t>
  </si>
  <si>
    <t>Control de Acceso Universitario</t>
  </si>
  <si>
    <t>Reportes actividad guardias</t>
  </si>
  <si>
    <t>Lista estudiantes hoy</t>
  </si>
  <si>
    <t>Lista estudiantes en campus</t>
  </si>
  <si>
    <t>Buscar estudiante</t>
  </si>
  <si>
    <t>Historial accesos recientes</t>
  </si>
  <si>
    <t>Filtrar por carrera y fechas</t>
  </si>
  <si>
    <t>Sincronización app-servidor</t>
  </si>
  <si>
    <t>Funcionalidad offline</t>
  </si>
  <si>
    <t>Múltiples guardias simultáneos</t>
  </si>
  <si>
    <t>Report structure planning</t>
  </si>
  <si>
    <t>Query design started</t>
  </si>
  <si>
    <t>Entry/exit logic design</t>
  </si>
  <si>
    <t>Search interface mockup</t>
  </si>
  <si>
    <t>Time filter planning</t>
  </si>
  <si>
    <t>Filter combination design</t>
  </si>
  <si>
    <t>Sync architecture planning</t>
  </si>
  <si>
    <t>Local cache design</t>
  </si>
  <si>
    <t>Concurrency analysis started</t>
  </si>
  <si>
    <t>Using historical data from Sprint 2</t>
  </si>
  <si>
    <t>Access logs from Sprint 2 available</t>
  </si>
  <si>
    <t>Complex logic for current occupancy</t>
  </si>
  <si>
    <t>Need autocomplete functionality</t>
  </si>
  <si>
    <t>24h/48h filters required</t>
  </si>
  <si>
    <t>Complex multi-filter implementation</t>
  </si>
  <si>
    <t>Bidirectional sync complexity high</t>
  </si>
  <si>
    <t>Critical for guard operations</t>
  </si>
  <si>
    <t>Database locking strategy needed</t>
  </si>
  <si>
    <t>Activity metrics 60% done</t>
  </si>
  <si>
    <t>Date filtering implemented</t>
  </si>
  <si>
    <t>Entry-exit calculation 70% done</t>
  </si>
  <si>
    <t>Search box with autocomplete</t>
  </si>
  <si>
    <t>24h/48h filters working</t>
  </si>
  <si>
    <t>Date picker implemented</t>
  </si>
  <si>
    <t>Conflict resolution 80% done</t>
  </si>
  <si>
    <t>Event queue system 50% done</t>
  </si>
  <si>
    <t>Optimistic locking implemented</t>
  </si>
  <si>
    <t>PDF export library integration</t>
  </si>
  <si>
    <t>Chronological ordering working</t>
  </si>
  <si>
    <t>Counter algorithm implemented</t>
  </si>
  <si>
    <t>Multiple results handling added</t>
  </si>
  <si>
    <t>Complete access details displayed</t>
  </si>
  <si>
    <t>Career dropdown working properly</t>
  </si>
  <si>
    <t>Data versioning system working</t>
  </si>
  <si>
    <t>Auto-sync on reconnect working</t>
  </si>
  <si>
    <t>Conflict resolution tested</t>
  </si>
  <si>
    <t>PDF generation working</t>
  </si>
  <si>
    <t>Basic filters added</t>
  </si>
  <si>
    <t>Real-time counter tested</t>
  </si>
  <si>
    <t>Complete data display added</t>
  </si>
  <si>
    <t>All details validated</t>
  </si>
  <si>
    <t>Filter combinations tested</t>
  </si>
  <si>
    <t>Data versioning complete</t>
  </si>
  <si>
    <t>Auto-sync optimized</t>
  </si>
  <si>
    <t>Scalability tested</t>
  </si>
  <si>
    <t>Multi-user operations stable</t>
  </si>
  <si>
    <t>Offline resilience validated</t>
  </si>
  <si>
    <t>Bidirectional sync tested</t>
  </si>
  <si>
    <t>Advanced filtering operational</t>
  </si>
  <si>
    <t>Historical review fully working</t>
  </si>
  <si>
    <t>Search functionality optimized</t>
  </si>
  <si>
    <t>Current occupancy accurate</t>
  </si>
  <si>
    <t>Daily monitoring fully functiona</t>
  </si>
  <si>
    <t>Performance metrics validated</t>
  </si>
  <si>
    <t>Export functionality validated</t>
  </si>
  <si>
    <t>Stress testing completed</t>
  </si>
  <si>
    <t>Guard performance reporting ready</t>
  </si>
  <si>
    <t>Sync system fully operational</t>
  </si>
  <si>
    <t>Offline mode fully functional</t>
  </si>
  <si>
    <t xml:space="preserve">Sprint 3 Integration Testing Phase
• Query &amp; Reporting System 
• Mobile App Synchronization 
• Multi-user Concurrency </t>
  </si>
  <si>
    <t>All 9 User Stories completed and integrated
• Advanced Query System 
• Guard Activity Reports 
• Mobile-Web Synchronization 
• Multi-user Concurrent Operations 
• Offline Functionality 
Ready to proceed to Sprint 4 (Machine Learning)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</si>
</sst>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22"/>
      <color theme="1" tint="0.34998626667073579"/>
      <name val="Century Gothic"/>
      <family val="2"/>
    </font>
    <font>
      <sz val="11"/>
      <color theme="1" tint="0.34998626667073579"/>
      <name val="Century Gothic"/>
      <family val="2"/>
    </font>
    <font>
      <sz val="14"/>
      <color theme="1" tint="0.34998626667073579"/>
      <name val="Century Gothic"/>
      <family val="2"/>
    </font>
    <font>
      <b/>
      <sz val="14"/>
      <color theme="1" tint="0.34998626667073579"/>
      <name val="Century Gothic"/>
      <family val="2"/>
    </font>
    <font>
      <sz val="11"/>
      <color theme="8" tint="-0.249977111117893"/>
      <name val="Century Gothic"/>
      <family val="2"/>
    </font>
    <font>
      <sz val="14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2"/>
    </font>
    <font>
      <i/>
      <sz val="10"/>
      <color theme="8" tint="-0.249977111117893"/>
      <name val="Century Gothic"/>
      <family val="2"/>
    </font>
    <font>
      <b/>
      <sz val="18"/>
      <color theme="8" tint="-0.249977111117893"/>
      <name val="Century Gothic"/>
      <family val="2"/>
    </font>
    <font>
      <sz val="16"/>
      <color theme="8" tint="-0.249977111117893"/>
      <name val="Century Gothic"/>
      <family val="2"/>
    </font>
    <font>
      <b/>
      <sz val="16"/>
      <color theme="8" tint="-0.249977111117893"/>
      <name val="Century Gothic"/>
      <family val="2"/>
    </font>
    <font>
      <i/>
      <sz val="10"/>
      <color theme="1" tint="0.34998626667073579"/>
      <name val="Century Gothic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3">
    <xf numFmtId="0" fontId="0" fillId="0" borderId="0"/>
    <xf numFmtId="0" fontId="1" fillId="0" borderId="0"/>
    <xf numFmtId="0" fontId="18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9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 indent="1"/>
    </xf>
    <xf numFmtId="0" fontId="10" fillId="5" borderId="2" xfId="0" applyFont="1" applyFill="1" applyBorder="1" applyAlignment="1">
      <alignment horizontal="left" vertical="center" wrapText="1" indent="1"/>
    </xf>
    <xf numFmtId="0" fontId="9" fillId="3" borderId="2" xfId="0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 indent="1" readingOrder="1"/>
    </xf>
    <xf numFmtId="0" fontId="9" fillId="0" borderId="2" xfId="0" applyFont="1" applyBorder="1" applyAlignment="1">
      <alignment horizontal="left" vertical="center" wrapText="1" indent="1"/>
    </xf>
    <xf numFmtId="0" fontId="9" fillId="6" borderId="2" xfId="0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wrapText="1"/>
    </xf>
    <xf numFmtId="0" fontId="12" fillId="0" borderId="1" xfId="0" applyFont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9" fillId="3" borderId="1" xfId="0" applyFont="1" applyFill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 indent="1"/>
    </xf>
    <xf numFmtId="164" fontId="15" fillId="0" borderId="0" xfId="0" applyNumberFormat="1" applyFont="1" applyAlignment="1">
      <alignment horizontal="left"/>
    </xf>
    <xf numFmtId="164" fontId="6" fillId="2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0" fillId="3" borderId="0" xfId="0" applyFont="1" applyFill="1" applyAlignment="1">
      <alignment horizontal="left" vertical="center" wrapText="1" indent="1"/>
    </xf>
    <xf numFmtId="0" fontId="11" fillId="3" borderId="0" xfId="0" applyFont="1" applyFill="1" applyAlignment="1">
      <alignment horizontal="left" vertical="center" wrapText="1" indent="1" readingOrder="1"/>
    </xf>
    <xf numFmtId="0" fontId="9" fillId="8" borderId="2" xfId="0" applyFont="1" applyFill="1" applyBorder="1" applyAlignment="1">
      <alignment horizontal="left" vertical="center" wrapText="1" indent="1"/>
    </xf>
    <xf numFmtId="0" fontId="7" fillId="4" borderId="9" xfId="0" applyFont="1" applyFill="1" applyBorder="1" applyAlignment="1">
      <alignment horizontal="left" vertical="center" indent="1"/>
    </xf>
    <xf numFmtId="0" fontId="9" fillId="8" borderId="8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18" fillId="7" borderId="3" xfId="2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9" fillId="10" borderId="6" xfId="0" applyFont="1" applyFill="1" applyBorder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0" fontId="19" fillId="10" borderId="7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 wrapText="1" indent="1" readingOrder="1"/>
    </xf>
    <xf numFmtId="0" fontId="9" fillId="3" borderId="1" xfId="0" applyNumberFormat="1" applyFont="1" applyFill="1" applyBorder="1" applyAlignment="1">
      <alignment horizontal="left" vertical="center" wrapText="1" indent="1"/>
    </xf>
  </cellXfs>
  <cellStyles count="3">
    <cellStyle name="Hipervínculo" xfId="2" builtinId="8"/>
    <cellStyle name="Normal" xfId="0" builtinId="0"/>
    <cellStyle name="Normal 2" xfId="1" xr:uid="{C80E37FC-D7FF-4DEE-8A5E-A47D00EDAB31}"/>
  </cellStyles>
  <dxfs count="39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Sistema-de-control-de-acceso/MovilesII.git" TargetMode="External"/><Relationship Id="rId1" Type="http://schemas.openxmlformats.org/officeDocument/2006/relationships/hyperlink" Target="https://github.com/orgs/Sistema-de-control-de-acceso/projects/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&#8230;" TargetMode="External"/><Relationship Id="rId1" Type="http://schemas.openxmlformats.org/officeDocument/2006/relationships/hyperlink" Target="https://&#8230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0472-D668-4DD2-9C02-83DA26673B16}">
  <sheetPr>
    <tabColor theme="3" tint="0.79998168889431442"/>
    <pageSetUpPr fitToPage="1"/>
  </sheetPr>
  <dimension ref="B1:J48"/>
  <sheetViews>
    <sheetView showGridLines="0" tabSelected="1" workbookViewId="0">
      <selection activeCell="D42" sqref="D42"/>
    </sheetView>
  </sheetViews>
  <sheetFormatPr baseColWidth="10" defaultColWidth="8.85546875" defaultRowHeight="15" x14ac:dyDescent="0.25"/>
  <cols>
    <col min="1" max="1" width="3.42578125" customWidth="1"/>
    <col min="2" max="2" width="18.7109375" customWidth="1"/>
    <col min="3" max="3" width="24.42578125" customWidth="1"/>
    <col min="4" max="4" width="47" customWidth="1"/>
    <col min="5" max="5" width="27.7109375" customWidth="1"/>
    <col min="6" max="6" width="34.5703125" bestFit="1" customWidth="1"/>
    <col min="7" max="7" width="24.140625" customWidth="1"/>
    <col min="8" max="8" width="42.7109375" customWidth="1"/>
    <col min="9" max="9" width="3.42578125" customWidth="1"/>
  </cols>
  <sheetData>
    <row r="1" spans="2:10" ht="50.1" customHeight="1" x14ac:dyDescent="0.25">
      <c r="B1" s="2" t="s">
        <v>60</v>
      </c>
    </row>
    <row r="2" spans="2:10" s="3" customFormat="1" ht="20.25" customHeight="1" x14ac:dyDescent="0.3">
      <c r="B2" s="36" t="s">
        <v>39</v>
      </c>
      <c r="C2" s="36"/>
      <c r="D2" s="26" t="s">
        <v>55</v>
      </c>
      <c r="E2" s="36" t="s">
        <v>59</v>
      </c>
      <c r="F2" s="36"/>
      <c r="G2" s="36" t="s">
        <v>40</v>
      </c>
      <c r="H2" s="36"/>
      <c r="I2" s="4"/>
      <c r="J2" s="4"/>
    </row>
    <row r="3" spans="2:10" s="1" customFormat="1" ht="35.25" customHeight="1" x14ac:dyDescent="0.3">
      <c r="B3" s="37" t="s">
        <v>72</v>
      </c>
      <c r="C3" s="38"/>
      <c r="D3" s="23">
        <v>45914</v>
      </c>
      <c r="E3" s="37">
        <v>3</v>
      </c>
      <c r="F3" s="38"/>
      <c r="G3" s="37" t="s">
        <v>58</v>
      </c>
      <c r="H3" s="38"/>
      <c r="I3" s="5"/>
      <c r="J3" s="6"/>
    </row>
    <row r="4" spans="2:10" s="1" customFormat="1" ht="35.25" customHeight="1" x14ac:dyDescent="0.3">
      <c r="B4" s="32" t="s">
        <v>61</v>
      </c>
      <c r="C4" s="33"/>
      <c r="D4" s="34" t="s">
        <v>71</v>
      </c>
      <c r="E4" s="35"/>
      <c r="F4" s="35"/>
      <c r="G4" s="35"/>
      <c r="H4" s="35"/>
      <c r="I4" s="5"/>
      <c r="J4" s="6"/>
    </row>
    <row r="5" spans="2:10" s="1" customFormat="1" ht="35.25" customHeight="1" x14ac:dyDescent="0.3">
      <c r="B5" s="32" t="s">
        <v>62</v>
      </c>
      <c r="C5" s="33"/>
      <c r="D5" s="34" t="s">
        <v>70</v>
      </c>
      <c r="E5" s="35"/>
      <c r="F5" s="35"/>
      <c r="G5" s="35"/>
      <c r="H5" s="35"/>
      <c r="I5" s="5"/>
      <c r="J5" s="6"/>
    </row>
    <row r="6" spans="2:10" ht="47.25" customHeight="1" x14ac:dyDescent="0.3">
      <c r="B6" s="25" t="s">
        <v>51</v>
      </c>
      <c r="C6" s="22">
        <f>D3+1</f>
        <v>45915</v>
      </c>
      <c r="D6" s="19"/>
      <c r="E6" s="19"/>
      <c r="F6" s="19"/>
      <c r="G6" s="19"/>
      <c r="H6" s="19"/>
    </row>
    <row r="7" spans="2:10" ht="27" customHeight="1" x14ac:dyDescent="0.25">
      <c r="B7" s="16" t="s">
        <v>41</v>
      </c>
      <c r="C7" s="16" t="s">
        <v>1</v>
      </c>
      <c r="D7" s="16" t="s">
        <v>36</v>
      </c>
      <c r="E7" s="16" t="s">
        <v>37</v>
      </c>
      <c r="F7" s="16" t="s">
        <v>0</v>
      </c>
      <c r="G7" s="16" t="s">
        <v>57</v>
      </c>
      <c r="H7" s="16" t="s">
        <v>38</v>
      </c>
    </row>
    <row r="8" spans="2:10" ht="21.95" customHeight="1" x14ac:dyDescent="0.25">
      <c r="B8" s="17">
        <v>1</v>
      </c>
      <c r="C8" s="18" t="s">
        <v>64</v>
      </c>
      <c r="D8" s="18" t="s">
        <v>73</v>
      </c>
      <c r="E8" s="17" t="s">
        <v>4</v>
      </c>
      <c r="F8" s="15" t="s">
        <v>82</v>
      </c>
      <c r="G8" s="9" t="s">
        <v>31</v>
      </c>
      <c r="H8" s="15" t="s">
        <v>91</v>
      </c>
    </row>
    <row r="9" spans="2:10" ht="21.95" customHeight="1" x14ac:dyDescent="0.25">
      <c r="B9" s="17">
        <v>2</v>
      </c>
      <c r="C9" s="18" t="s">
        <v>65</v>
      </c>
      <c r="D9" s="18" t="s">
        <v>74</v>
      </c>
      <c r="E9" s="17" t="s">
        <v>5</v>
      </c>
      <c r="F9" s="15" t="s">
        <v>83</v>
      </c>
      <c r="G9" s="9" t="s">
        <v>31</v>
      </c>
      <c r="H9" s="15" t="s">
        <v>92</v>
      </c>
    </row>
    <row r="10" spans="2:10" ht="21.95" customHeight="1" x14ac:dyDescent="0.25">
      <c r="B10" s="17">
        <v>3</v>
      </c>
      <c r="C10" s="18" t="s">
        <v>67</v>
      </c>
      <c r="D10" s="18" t="s">
        <v>75</v>
      </c>
      <c r="E10" s="17" t="s">
        <v>4</v>
      </c>
      <c r="F10" s="15" t="s">
        <v>84</v>
      </c>
      <c r="G10" s="9" t="s">
        <v>31</v>
      </c>
      <c r="H10" s="15" t="s">
        <v>93</v>
      </c>
    </row>
    <row r="11" spans="2:10" ht="21.95" customHeight="1" x14ac:dyDescent="0.25">
      <c r="B11" s="17">
        <v>4</v>
      </c>
      <c r="C11" s="18" t="s">
        <v>66</v>
      </c>
      <c r="D11" s="18" t="s">
        <v>76</v>
      </c>
      <c r="E11" s="17" t="s">
        <v>5</v>
      </c>
      <c r="F11" s="15" t="s">
        <v>85</v>
      </c>
      <c r="G11" s="9" t="s">
        <v>31</v>
      </c>
      <c r="H11" s="15" t="s">
        <v>94</v>
      </c>
    </row>
    <row r="12" spans="2:10" ht="21.95" customHeight="1" x14ac:dyDescent="0.25">
      <c r="B12" s="17">
        <v>5</v>
      </c>
      <c r="C12" s="18" t="s">
        <v>65</v>
      </c>
      <c r="D12" s="18" t="s">
        <v>77</v>
      </c>
      <c r="E12" s="17" t="s">
        <v>5</v>
      </c>
      <c r="F12" s="15" t="s">
        <v>86</v>
      </c>
      <c r="G12" s="9" t="s">
        <v>31</v>
      </c>
      <c r="H12" s="15" t="s">
        <v>95</v>
      </c>
    </row>
    <row r="13" spans="2:10" ht="21.95" customHeight="1" x14ac:dyDescent="0.25">
      <c r="B13" s="17">
        <v>6</v>
      </c>
      <c r="C13" s="18" t="s">
        <v>67</v>
      </c>
      <c r="D13" s="18" t="s">
        <v>78</v>
      </c>
      <c r="E13" s="17" t="s">
        <v>4</v>
      </c>
      <c r="F13" s="15" t="s">
        <v>87</v>
      </c>
      <c r="G13" s="9" t="s">
        <v>30</v>
      </c>
      <c r="H13" s="15" t="s">
        <v>96</v>
      </c>
    </row>
    <row r="14" spans="2:10" ht="21.95" customHeight="1" x14ac:dyDescent="0.25">
      <c r="B14" s="17">
        <v>7</v>
      </c>
      <c r="C14" s="18" t="s">
        <v>66</v>
      </c>
      <c r="D14" s="18" t="s">
        <v>79</v>
      </c>
      <c r="E14" s="17" t="s">
        <v>4</v>
      </c>
      <c r="F14" s="15" t="s">
        <v>88</v>
      </c>
      <c r="G14" s="9" t="s">
        <v>30</v>
      </c>
      <c r="H14" s="15" t="s">
        <v>97</v>
      </c>
    </row>
    <row r="15" spans="2:10" ht="21.95" customHeight="1" x14ac:dyDescent="0.25">
      <c r="B15" s="17">
        <v>8</v>
      </c>
      <c r="C15" s="18" t="s">
        <v>64</v>
      </c>
      <c r="D15" s="18" t="s">
        <v>80</v>
      </c>
      <c r="E15" s="17" t="s">
        <v>4</v>
      </c>
      <c r="F15" s="15" t="s">
        <v>89</v>
      </c>
      <c r="G15" s="9" t="s">
        <v>31</v>
      </c>
      <c r="H15" s="15" t="s">
        <v>98</v>
      </c>
    </row>
    <row r="16" spans="2:10" ht="21.95" customHeight="1" x14ac:dyDescent="0.25">
      <c r="B16" s="17">
        <v>9</v>
      </c>
      <c r="C16" s="18" t="s">
        <v>66</v>
      </c>
      <c r="D16" s="18" t="s">
        <v>81</v>
      </c>
      <c r="E16" s="17" t="s">
        <v>4</v>
      </c>
      <c r="F16" s="15" t="s">
        <v>90</v>
      </c>
      <c r="G16" s="9" t="s">
        <v>30</v>
      </c>
      <c r="H16" s="15" t="s">
        <v>99</v>
      </c>
    </row>
    <row r="17" spans="2:8" ht="47.25" customHeight="1" x14ac:dyDescent="0.3">
      <c r="B17" s="25" t="s">
        <v>50</v>
      </c>
      <c r="C17" s="22">
        <f>D3+2</f>
        <v>45916</v>
      </c>
      <c r="D17" s="19"/>
      <c r="E17" s="19"/>
      <c r="F17" s="19"/>
      <c r="G17" s="19"/>
      <c r="H17" s="19"/>
    </row>
    <row r="18" spans="2:8" ht="27" customHeight="1" x14ac:dyDescent="0.25">
      <c r="B18" s="16" t="s">
        <v>41</v>
      </c>
      <c r="C18" s="16" t="s">
        <v>1</v>
      </c>
      <c r="D18" s="16" t="s">
        <v>36</v>
      </c>
      <c r="E18" s="16" t="s">
        <v>37</v>
      </c>
      <c r="F18" s="16" t="s">
        <v>0</v>
      </c>
      <c r="G18" s="16" t="s">
        <v>57</v>
      </c>
      <c r="H18" s="16" t="s">
        <v>38</v>
      </c>
    </row>
    <row r="19" spans="2:8" ht="21.95" customHeight="1" x14ac:dyDescent="0.25">
      <c r="B19" s="17">
        <v>1</v>
      </c>
      <c r="C19" s="18" t="s">
        <v>64</v>
      </c>
      <c r="D19" s="18" t="s">
        <v>73</v>
      </c>
      <c r="E19" s="17" t="s">
        <v>4</v>
      </c>
      <c r="F19" s="15" t="s">
        <v>100</v>
      </c>
      <c r="G19" s="9" t="s">
        <v>30</v>
      </c>
      <c r="H19" s="15" t="s">
        <v>109</v>
      </c>
    </row>
    <row r="20" spans="2:8" ht="21.95" customHeight="1" x14ac:dyDescent="0.25">
      <c r="B20" s="17">
        <v>2</v>
      </c>
      <c r="C20" s="18" t="s">
        <v>65</v>
      </c>
      <c r="D20" s="18" t="s">
        <v>74</v>
      </c>
      <c r="E20" s="17" t="s">
        <v>5</v>
      </c>
      <c r="F20" s="15" t="s">
        <v>101</v>
      </c>
      <c r="G20" s="9" t="s">
        <v>30</v>
      </c>
      <c r="H20" s="15" t="s">
        <v>110</v>
      </c>
    </row>
    <row r="21" spans="2:8" ht="21.95" customHeight="1" x14ac:dyDescent="0.25">
      <c r="B21" s="17">
        <v>3</v>
      </c>
      <c r="C21" s="18" t="s">
        <v>67</v>
      </c>
      <c r="D21" s="18" t="s">
        <v>75</v>
      </c>
      <c r="E21" s="17" t="s">
        <v>4</v>
      </c>
      <c r="F21" s="15" t="s">
        <v>102</v>
      </c>
      <c r="G21" s="9" t="s">
        <v>30</v>
      </c>
      <c r="H21" s="15" t="s">
        <v>111</v>
      </c>
    </row>
    <row r="22" spans="2:8" ht="21.95" customHeight="1" x14ac:dyDescent="0.25">
      <c r="B22" s="17">
        <v>4</v>
      </c>
      <c r="C22" s="18" t="s">
        <v>66</v>
      </c>
      <c r="D22" s="18" t="s">
        <v>76</v>
      </c>
      <c r="E22" s="17" t="s">
        <v>5</v>
      </c>
      <c r="F22" s="15" t="s">
        <v>103</v>
      </c>
      <c r="G22" s="9" t="s">
        <v>30</v>
      </c>
      <c r="H22" s="15" t="s">
        <v>112</v>
      </c>
    </row>
    <row r="23" spans="2:8" ht="21.95" customHeight="1" x14ac:dyDescent="0.25">
      <c r="B23" s="17">
        <v>5</v>
      </c>
      <c r="C23" s="18" t="s">
        <v>65</v>
      </c>
      <c r="D23" s="18" t="s">
        <v>77</v>
      </c>
      <c r="E23" s="17" t="s">
        <v>5</v>
      </c>
      <c r="F23" s="15" t="s">
        <v>104</v>
      </c>
      <c r="G23" s="9" t="s">
        <v>34</v>
      </c>
      <c r="H23" s="15" t="s">
        <v>113</v>
      </c>
    </row>
    <row r="24" spans="2:8" ht="21.95" customHeight="1" x14ac:dyDescent="0.25">
      <c r="B24" s="17">
        <v>6</v>
      </c>
      <c r="C24" s="18" t="s">
        <v>67</v>
      </c>
      <c r="D24" s="18" t="s">
        <v>78</v>
      </c>
      <c r="E24" s="17" t="s">
        <v>4</v>
      </c>
      <c r="F24" s="15" t="s">
        <v>105</v>
      </c>
      <c r="G24" s="9" t="s">
        <v>34</v>
      </c>
      <c r="H24" s="15" t="s">
        <v>114</v>
      </c>
    </row>
    <row r="25" spans="2:8" ht="21.95" customHeight="1" x14ac:dyDescent="0.25">
      <c r="B25" s="17">
        <v>7</v>
      </c>
      <c r="C25" s="18" t="s">
        <v>66</v>
      </c>
      <c r="D25" s="18" t="s">
        <v>79</v>
      </c>
      <c r="E25" s="17" t="s">
        <v>4</v>
      </c>
      <c r="F25" s="15" t="s">
        <v>106</v>
      </c>
      <c r="G25" s="9" t="s">
        <v>30</v>
      </c>
      <c r="H25" s="15" t="s">
        <v>115</v>
      </c>
    </row>
    <row r="26" spans="2:8" ht="21.95" customHeight="1" x14ac:dyDescent="0.25">
      <c r="B26" s="17">
        <v>8</v>
      </c>
      <c r="C26" s="18" t="s">
        <v>64</v>
      </c>
      <c r="D26" s="18" t="s">
        <v>80</v>
      </c>
      <c r="E26" s="17" t="s">
        <v>4</v>
      </c>
      <c r="F26" s="15" t="s">
        <v>107</v>
      </c>
      <c r="G26" s="9" t="s">
        <v>30</v>
      </c>
      <c r="H26" s="15" t="s">
        <v>116</v>
      </c>
    </row>
    <row r="27" spans="2:8" ht="21.95" customHeight="1" x14ac:dyDescent="0.25">
      <c r="B27" s="17">
        <v>9</v>
      </c>
      <c r="C27" s="18" t="s">
        <v>66</v>
      </c>
      <c r="D27" s="18" t="s">
        <v>81</v>
      </c>
      <c r="E27" s="17" t="s">
        <v>4</v>
      </c>
      <c r="F27" s="15" t="s">
        <v>108</v>
      </c>
      <c r="G27" s="9" t="s">
        <v>34</v>
      </c>
      <c r="H27" s="15" t="s">
        <v>117</v>
      </c>
    </row>
    <row r="28" spans="2:8" ht="47.25" customHeight="1" x14ac:dyDescent="0.3">
      <c r="B28" s="24" t="s">
        <v>49</v>
      </c>
      <c r="C28" s="22">
        <f>D3+3</f>
        <v>45917</v>
      </c>
      <c r="D28" s="19"/>
      <c r="E28" s="19"/>
      <c r="F28" s="19"/>
      <c r="G28" s="19"/>
      <c r="H28" s="19"/>
    </row>
    <row r="29" spans="2:8" ht="27" customHeight="1" x14ac:dyDescent="0.25">
      <c r="B29" s="16" t="s">
        <v>41</v>
      </c>
      <c r="C29" s="16" t="s">
        <v>1</v>
      </c>
      <c r="D29" s="16" t="s">
        <v>36</v>
      </c>
      <c r="E29" s="16" t="s">
        <v>37</v>
      </c>
      <c r="F29" s="16" t="s">
        <v>0</v>
      </c>
      <c r="G29" s="16" t="s">
        <v>57</v>
      </c>
      <c r="H29" s="16" t="s">
        <v>38</v>
      </c>
    </row>
    <row r="30" spans="2:8" ht="21.95" customHeight="1" x14ac:dyDescent="0.25">
      <c r="B30" s="17">
        <v>1</v>
      </c>
      <c r="C30" s="18" t="s">
        <v>64</v>
      </c>
      <c r="D30" s="18" t="s">
        <v>73</v>
      </c>
      <c r="E30" s="17" t="s">
        <v>4</v>
      </c>
      <c r="F30" s="15" t="s">
        <v>118</v>
      </c>
      <c r="G30" s="9" t="s">
        <v>34</v>
      </c>
      <c r="H30" s="15" t="s">
        <v>135</v>
      </c>
    </row>
    <row r="31" spans="2:8" ht="21.95" customHeight="1" x14ac:dyDescent="0.25">
      <c r="B31" s="17">
        <v>2</v>
      </c>
      <c r="C31" s="18" t="s">
        <v>65</v>
      </c>
      <c r="D31" s="18" t="s">
        <v>74</v>
      </c>
      <c r="E31" s="17" t="s">
        <v>5</v>
      </c>
      <c r="F31" s="15" t="s">
        <v>119</v>
      </c>
      <c r="G31" s="9" t="s">
        <v>32</v>
      </c>
      <c r="H31" s="15" t="s">
        <v>134</v>
      </c>
    </row>
    <row r="32" spans="2:8" ht="21.95" customHeight="1" x14ac:dyDescent="0.25">
      <c r="B32" s="17">
        <v>3</v>
      </c>
      <c r="C32" s="18" t="s">
        <v>67</v>
      </c>
      <c r="D32" s="18" t="s">
        <v>75</v>
      </c>
      <c r="E32" s="17" t="s">
        <v>4</v>
      </c>
      <c r="F32" s="15" t="s">
        <v>120</v>
      </c>
      <c r="G32" s="9" t="s">
        <v>32</v>
      </c>
      <c r="H32" s="15" t="s">
        <v>133</v>
      </c>
    </row>
    <row r="33" spans="2:8" ht="21.95" customHeight="1" x14ac:dyDescent="0.25">
      <c r="B33" s="17">
        <v>4</v>
      </c>
      <c r="C33" s="18" t="s">
        <v>66</v>
      </c>
      <c r="D33" s="18" t="s">
        <v>76</v>
      </c>
      <c r="E33" s="17" t="s">
        <v>5</v>
      </c>
      <c r="F33" s="15" t="s">
        <v>121</v>
      </c>
      <c r="G33" s="9" t="s">
        <v>32</v>
      </c>
      <c r="H33" s="15" t="s">
        <v>132</v>
      </c>
    </row>
    <row r="34" spans="2:8" ht="21.95" customHeight="1" x14ac:dyDescent="0.25">
      <c r="B34" s="17">
        <v>5</v>
      </c>
      <c r="C34" s="18" t="s">
        <v>65</v>
      </c>
      <c r="D34" s="18" t="s">
        <v>77</v>
      </c>
      <c r="E34" s="17" t="s">
        <v>5</v>
      </c>
      <c r="F34" s="15" t="s">
        <v>122</v>
      </c>
      <c r="G34" s="9" t="s">
        <v>32</v>
      </c>
      <c r="H34" s="15" t="s">
        <v>131</v>
      </c>
    </row>
    <row r="35" spans="2:8" ht="21.95" customHeight="1" x14ac:dyDescent="0.25">
      <c r="B35" s="17">
        <v>6</v>
      </c>
      <c r="C35" s="18" t="s">
        <v>67</v>
      </c>
      <c r="D35" s="18" t="s">
        <v>78</v>
      </c>
      <c r="E35" s="17" t="s">
        <v>4</v>
      </c>
      <c r="F35" s="15" t="s">
        <v>123</v>
      </c>
      <c r="G35" s="9" t="s">
        <v>32</v>
      </c>
      <c r="H35" s="15" t="s">
        <v>130</v>
      </c>
    </row>
    <row r="36" spans="2:8" ht="21.95" customHeight="1" x14ac:dyDescent="0.25">
      <c r="B36" s="17">
        <v>7</v>
      </c>
      <c r="C36" s="18" t="s">
        <v>66</v>
      </c>
      <c r="D36" s="18" t="s">
        <v>79</v>
      </c>
      <c r="E36" s="17" t="s">
        <v>4</v>
      </c>
      <c r="F36" s="15" t="s">
        <v>124</v>
      </c>
      <c r="G36" s="9" t="s">
        <v>34</v>
      </c>
      <c r="H36" s="15" t="s">
        <v>129</v>
      </c>
    </row>
    <row r="37" spans="2:8" ht="21.95" customHeight="1" x14ac:dyDescent="0.25">
      <c r="B37" s="17">
        <v>8</v>
      </c>
      <c r="C37" s="18" t="s">
        <v>64</v>
      </c>
      <c r="D37" s="18" t="s">
        <v>80</v>
      </c>
      <c r="E37" s="17" t="s">
        <v>4</v>
      </c>
      <c r="F37" s="15" t="s">
        <v>125</v>
      </c>
      <c r="G37" s="9" t="s">
        <v>34</v>
      </c>
      <c r="H37" s="15" t="s">
        <v>128</v>
      </c>
    </row>
    <row r="38" spans="2:8" ht="21.95" customHeight="1" x14ac:dyDescent="0.25">
      <c r="B38" s="17">
        <v>9</v>
      </c>
      <c r="C38" s="18" t="s">
        <v>66</v>
      </c>
      <c r="D38" s="18" t="s">
        <v>81</v>
      </c>
      <c r="E38" s="17" t="s">
        <v>4</v>
      </c>
      <c r="F38" s="15" t="s">
        <v>126</v>
      </c>
      <c r="G38" s="9" t="s">
        <v>32</v>
      </c>
      <c r="H38" s="15" t="s">
        <v>127</v>
      </c>
    </row>
    <row r="39" spans="2:8" ht="47.25" customHeight="1" x14ac:dyDescent="0.3">
      <c r="B39" s="25" t="s">
        <v>52</v>
      </c>
      <c r="C39" s="22">
        <f>D3+4</f>
        <v>45918</v>
      </c>
      <c r="D39" s="19"/>
      <c r="E39" s="19"/>
      <c r="F39" s="19"/>
      <c r="G39" s="19"/>
      <c r="H39" s="19"/>
    </row>
    <row r="40" spans="2:8" ht="27" customHeight="1" x14ac:dyDescent="0.25">
      <c r="B40" s="16" t="s">
        <v>41</v>
      </c>
      <c r="C40" s="16" t="s">
        <v>1</v>
      </c>
      <c r="D40" s="16" t="s">
        <v>36</v>
      </c>
      <c r="E40" s="16" t="s">
        <v>37</v>
      </c>
      <c r="F40" s="16" t="s">
        <v>0</v>
      </c>
      <c r="G40" s="16" t="s">
        <v>57</v>
      </c>
      <c r="H40" s="16" t="s">
        <v>38</v>
      </c>
    </row>
    <row r="41" spans="2:8" ht="21.95" customHeight="1" x14ac:dyDescent="0.25">
      <c r="B41" s="44">
        <v>1</v>
      </c>
      <c r="C41" s="18" t="s">
        <v>64</v>
      </c>
      <c r="D41" s="18" t="s">
        <v>73</v>
      </c>
      <c r="E41" s="17" t="s">
        <v>4</v>
      </c>
      <c r="F41" s="15" t="s">
        <v>136</v>
      </c>
      <c r="G41" s="29" t="s">
        <v>32</v>
      </c>
      <c r="H41" s="15" t="s">
        <v>138</v>
      </c>
    </row>
    <row r="42" spans="2:8" ht="21.95" customHeight="1" x14ac:dyDescent="0.25">
      <c r="B42" s="17">
        <v>7</v>
      </c>
      <c r="C42" s="18" t="s">
        <v>66</v>
      </c>
      <c r="D42" s="18" t="s">
        <v>79</v>
      </c>
      <c r="E42" s="17" t="s">
        <v>4</v>
      </c>
      <c r="F42" s="15" t="s">
        <v>69</v>
      </c>
      <c r="G42" s="29" t="s">
        <v>32</v>
      </c>
      <c r="H42" s="15" t="s">
        <v>139</v>
      </c>
    </row>
    <row r="43" spans="2:8" ht="21.95" customHeight="1" x14ac:dyDescent="0.25">
      <c r="B43" s="17">
        <v>8</v>
      </c>
      <c r="C43" s="18" t="s">
        <v>64</v>
      </c>
      <c r="D43" s="18" t="s">
        <v>80</v>
      </c>
      <c r="E43" s="17" t="s">
        <v>4</v>
      </c>
      <c r="F43" s="15" t="s">
        <v>137</v>
      </c>
      <c r="G43" s="29" t="s">
        <v>32</v>
      </c>
      <c r="H43" s="15" t="s">
        <v>140</v>
      </c>
    </row>
    <row r="44" spans="2:8" ht="39" customHeight="1" x14ac:dyDescent="0.25">
      <c r="B44" s="40" t="s">
        <v>141</v>
      </c>
      <c r="C44" s="41"/>
      <c r="D44" s="41"/>
      <c r="E44" s="41"/>
      <c r="F44" s="41"/>
      <c r="G44" s="41"/>
      <c r="H44" s="42"/>
    </row>
    <row r="45" spans="2:8" ht="47.25" customHeight="1" x14ac:dyDescent="0.3">
      <c r="B45" s="25" t="s">
        <v>53</v>
      </c>
      <c r="C45" s="22">
        <f>D3+5</f>
        <v>45919</v>
      </c>
      <c r="D45" s="19"/>
      <c r="E45" s="19"/>
      <c r="F45" s="19"/>
      <c r="G45" s="19"/>
      <c r="H45" s="19"/>
    </row>
    <row r="46" spans="2:8" ht="27" customHeight="1" x14ac:dyDescent="0.25">
      <c r="B46" s="30" t="s">
        <v>41</v>
      </c>
      <c r="C46" s="30" t="s">
        <v>1</v>
      </c>
      <c r="D46" s="30" t="s">
        <v>36</v>
      </c>
      <c r="E46" s="30" t="s">
        <v>37</v>
      </c>
      <c r="F46" s="30" t="s">
        <v>0</v>
      </c>
      <c r="G46" s="30" t="s">
        <v>57</v>
      </c>
      <c r="H46" s="30" t="s">
        <v>38</v>
      </c>
    </row>
    <row r="47" spans="2:8" ht="81" customHeight="1" x14ac:dyDescent="0.25">
      <c r="B47" s="31" t="s">
        <v>142</v>
      </c>
      <c r="C47" s="31"/>
      <c r="D47" s="31"/>
      <c r="E47" s="31"/>
      <c r="F47" s="31"/>
      <c r="G47" s="31"/>
      <c r="H47" s="31"/>
    </row>
    <row r="48" spans="2:8" ht="15" customHeight="1" x14ac:dyDescent="0.25">
      <c r="B48" s="7"/>
      <c r="C48" s="20"/>
      <c r="D48" s="20"/>
      <c r="E48" s="7"/>
      <c r="F48" s="21"/>
      <c r="G48" s="7"/>
      <c r="H48" s="21"/>
    </row>
  </sheetData>
  <mergeCells count="12">
    <mergeCell ref="B2:C2"/>
    <mergeCell ref="G2:H2"/>
    <mergeCell ref="B3:C3"/>
    <mergeCell ref="G3:H3"/>
    <mergeCell ref="E3:F3"/>
    <mergeCell ref="E2:F2"/>
    <mergeCell ref="B44:H44"/>
    <mergeCell ref="B47:H47"/>
    <mergeCell ref="B4:C4"/>
    <mergeCell ref="D4:H4"/>
    <mergeCell ref="B5:C5"/>
    <mergeCell ref="D5:H5"/>
  </mergeCells>
  <conditionalFormatting sqref="B8:B16 B19:B27 B30:B38 B47:B48 B41:B44">
    <cfRule type="containsText" dxfId="38" priority="12" operator="containsText" text="Update">
      <formula>NOT(ISERROR(SEARCH("Update",B8)))</formula>
    </cfRule>
    <cfRule type="containsText" dxfId="37" priority="13" operator="containsText" text="Task">
      <formula>NOT(ISERROR(SEARCH("Task",B8)))</formula>
    </cfRule>
    <cfRule type="containsText" dxfId="36" priority="14" operator="containsText" text="Content">
      <formula>NOT(ISERROR(SEARCH("Content",B8)))</formula>
    </cfRule>
    <cfRule type="containsText" dxfId="35" priority="15" operator="containsText" text="Feature">
      <formula>NOT(ISERROR(SEARCH("Feature",B8)))</formula>
    </cfRule>
    <cfRule type="containsText" dxfId="34" priority="16" operator="containsText" text="Research">
      <formula>NOT(ISERROR(SEARCH("Research",B8)))</formula>
    </cfRule>
  </conditionalFormatting>
  <conditionalFormatting sqref="E8:E16 E48 E19:E27 E30:E38 E41:E43">
    <cfRule type="containsText" dxfId="33" priority="1" operator="containsText" text="Low">
      <formula>NOT(ISERROR(SEARCH("Low",E8)))</formula>
    </cfRule>
    <cfRule type="containsText" dxfId="32" priority="2" operator="containsText" text="Medium">
      <formula>NOT(ISERROR(SEARCH("Medium",E8)))</formula>
    </cfRule>
    <cfRule type="containsText" dxfId="31" priority="3" operator="containsText" text="High">
      <formula>NOT(ISERROR(SEARCH("High",E8)))</formula>
    </cfRule>
  </conditionalFormatting>
  <conditionalFormatting sqref="G19:G27 G48 G8:G16 G30:G38 G41:G43">
    <cfRule type="containsText" dxfId="30" priority="4" operator="containsText" text="Testing">
      <formula>NOT(ISERROR(SEARCH("Testing",G8)))</formula>
    </cfRule>
    <cfRule type="containsText" dxfId="29" priority="5" operator="containsText" text="On Hold">
      <formula>NOT(ISERROR(SEARCH("On Hold",G8)))</formula>
    </cfRule>
    <cfRule type="containsText" dxfId="28" priority="6" operator="containsText" text="Complete">
      <formula>NOT(ISERROR(SEARCH("Complete",G8)))</formula>
    </cfRule>
    <cfRule type="containsText" dxfId="27" priority="7" operator="containsText" text="Ready to Start">
      <formula>NOT(ISERROR(SEARCH("Ready to Start",G8)))</formula>
    </cfRule>
    <cfRule type="containsText" dxfId="26" priority="8" operator="containsText" text="In Progress">
      <formula>NOT(ISERROR(SEARCH("In Progress",G8)))</formula>
    </cfRule>
  </conditionalFormatting>
  <hyperlinks>
    <hyperlink ref="D4" r:id="rId1" xr:uid="{A20250F6-42A0-42C4-AC07-19C0D1D2C1D8}"/>
    <hyperlink ref="D5" r:id="rId2" xr:uid="{8CA805CC-9A7F-4BA5-AAB8-970EEAF60308}"/>
  </hyperlinks>
  <pageMargins left="0.7" right="0.7" top="0.75" bottom="0.75" header="0.3" footer="0.3"/>
  <pageSetup paperSize="3" scale="59" fitToHeight="0" orientation="portrait" horizontalDpi="1200" verticalDpi="1200"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BEFBC7-A6AA-4CF2-927D-7E4069B0AFBC}">
          <x14:formula1>
            <xm:f>'Dropdown Keys - DO NOT DELETE'!$D$4:$D$7</xm:f>
          </x14:formula1>
          <xm:sqref>E8:E16 E48 E19:E27 E30:E38 E41:E43</xm:sqref>
        </x14:dataValidation>
        <x14:dataValidation type="list" allowBlank="1" showInputMessage="1" showErrorMessage="1" xr:uid="{2865B04E-B3BF-4093-8BB6-96989E2C8E44}">
          <x14:formula1>
            <xm:f>'Dropdown Keys - DO NOT DELETE'!$F$4:$F$9</xm:f>
          </x14:formula1>
          <xm:sqref>G48 G19:G27 G8:G16 G30:G38 G41:G43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9BDC-80A3-4E55-B853-A0303ABA85FE}">
  <sheetPr>
    <tabColor theme="3" tint="0.59999389629810485"/>
    <pageSetUpPr fitToPage="1"/>
  </sheetPr>
  <dimension ref="B1:J66"/>
  <sheetViews>
    <sheetView showGridLines="0" workbookViewId="0">
      <pane ySplit="1" topLeftCell="A2" activePane="bottomLeft" state="frozen"/>
      <selection pane="bottomLeft" activeCell="D14" sqref="D14"/>
    </sheetView>
  </sheetViews>
  <sheetFormatPr baseColWidth="10" defaultColWidth="8.85546875" defaultRowHeight="15" x14ac:dyDescent="0.25"/>
  <cols>
    <col min="1" max="1" width="3.42578125" customWidth="1"/>
    <col min="2" max="2" width="15.7109375" customWidth="1"/>
    <col min="3" max="3" width="22.85546875" customWidth="1"/>
    <col min="4" max="4" width="47" customWidth="1"/>
    <col min="5" max="5" width="27.7109375" customWidth="1"/>
    <col min="6" max="6" width="26.140625" customWidth="1"/>
    <col min="7" max="7" width="24.140625" customWidth="1"/>
    <col min="8" max="8" width="42.7109375" customWidth="1"/>
    <col min="9" max="9" width="3.42578125" customWidth="1"/>
  </cols>
  <sheetData>
    <row r="1" spans="2:10" ht="50.1" customHeight="1" x14ac:dyDescent="0.25">
      <c r="B1" s="2" t="s">
        <v>60</v>
      </c>
    </row>
    <row r="2" spans="2:10" s="3" customFormat="1" ht="20.25" customHeight="1" x14ac:dyDescent="0.3">
      <c r="B2" s="36" t="s">
        <v>39</v>
      </c>
      <c r="C2" s="36"/>
      <c r="D2" s="26" t="s">
        <v>55</v>
      </c>
      <c r="E2" s="36" t="s">
        <v>59</v>
      </c>
      <c r="F2" s="36"/>
      <c r="G2" s="36" t="s">
        <v>40</v>
      </c>
      <c r="H2" s="36"/>
      <c r="I2" s="4"/>
      <c r="J2" s="4"/>
    </row>
    <row r="3" spans="2:10" s="1" customFormat="1" ht="35.25" customHeight="1" x14ac:dyDescent="0.3">
      <c r="B3" s="37" t="s">
        <v>56</v>
      </c>
      <c r="C3" s="38"/>
      <c r="D3" s="23">
        <v>45551</v>
      </c>
      <c r="E3" s="37">
        <v>1</v>
      </c>
      <c r="F3" s="38"/>
      <c r="G3" s="37" t="s">
        <v>58</v>
      </c>
      <c r="H3" s="38"/>
      <c r="I3" s="5"/>
      <c r="J3" s="6"/>
    </row>
    <row r="4" spans="2:10" s="1" customFormat="1" ht="27" customHeight="1" x14ac:dyDescent="0.3">
      <c r="B4" s="32" t="s">
        <v>61</v>
      </c>
      <c r="C4" s="33"/>
      <c r="D4" s="34" t="s">
        <v>63</v>
      </c>
      <c r="E4" s="35"/>
      <c r="F4" s="35"/>
      <c r="G4" s="35"/>
      <c r="H4" s="35"/>
      <c r="I4" s="5"/>
      <c r="J4" s="6"/>
    </row>
    <row r="5" spans="2:10" s="1" customFormat="1" ht="25.5" customHeight="1" x14ac:dyDescent="0.3">
      <c r="B5" s="32" t="s">
        <v>62</v>
      </c>
      <c r="C5" s="33"/>
      <c r="D5" s="34" t="s">
        <v>63</v>
      </c>
      <c r="E5" s="35"/>
      <c r="F5" s="35"/>
      <c r="G5" s="35"/>
      <c r="H5" s="35"/>
      <c r="I5" s="5"/>
      <c r="J5" s="6"/>
    </row>
    <row r="6" spans="2:10" ht="47.25" customHeight="1" x14ac:dyDescent="0.3">
      <c r="B6" s="25" t="s">
        <v>51</v>
      </c>
      <c r="C6" s="22">
        <f>D3+1</f>
        <v>45552</v>
      </c>
      <c r="D6" s="19"/>
      <c r="E6" s="19"/>
      <c r="F6" s="19"/>
      <c r="G6" s="19"/>
      <c r="H6" s="19"/>
    </row>
    <row r="7" spans="2:10" ht="27" customHeight="1" x14ac:dyDescent="0.25">
      <c r="B7" s="16" t="s">
        <v>41</v>
      </c>
      <c r="C7" s="16" t="s">
        <v>1</v>
      </c>
      <c r="D7" s="16" t="s">
        <v>36</v>
      </c>
      <c r="E7" s="16" t="s">
        <v>37</v>
      </c>
      <c r="F7" s="16" t="s">
        <v>0</v>
      </c>
      <c r="G7" s="16" t="s">
        <v>57</v>
      </c>
      <c r="H7" s="16" t="s">
        <v>38</v>
      </c>
    </row>
    <row r="8" spans="2:10" ht="21.95" customHeight="1" x14ac:dyDescent="0.25">
      <c r="B8" s="17">
        <v>1</v>
      </c>
      <c r="C8" s="18" t="s">
        <v>14</v>
      </c>
      <c r="D8" s="18" t="s">
        <v>8</v>
      </c>
      <c r="E8" s="17" t="s">
        <v>4</v>
      </c>
      <c r="F8" s="15" t="s">
        <v>42</v>
      </c>
      <c r="G8" s="9" t="s">
        <v>30</v>
      </c>
      <c r="H8" s="15" t="s">
        <v>44</v>
      </c>
    </row>
    <row r="9" spans="2:10" ht="21.95" customHeight="1" x14ac:dyDescent="0.25">
      <c r="B9" s="17">
        <v>2</v>
      </c>
      <c r="C9" s="18" t="s">
        <v>15</v>
      </c>
      <c r="D9" s="18" t="s">
        <v>9</v>
      </c>
      <c r="E9" s="17" t="s">
        <v>5</v>
      </c>
      <c r="F9" s="15" t="s">
        <v>54</v>
      </c>
      <c r="G9" s="9" t="s">
        <v>33</v>
      </c>
      <c r="H9" s="15"/>
    </row>
    <row r="10" spans="2:10" ht="21.95" customHeight="1" x14ac:dyDescent="0.25">
      <c r="B10" s="17">
        <v>3</v>
      </c>
      <c r="C10" s="18" t="s">
        <v>16</v>
      </c>
      <c r="D10" s="18" t="s">
        <v>3</v>
      </c>
      <c r="E10" s="17" t="s">
        <v>6</v>
      </c>
      <c r="F10" s="15" t="s">
        <v>43</v>
      </c>
      <c r="G10" s="9" t="s">
        <v>30</v>
      </c>
      <c r="H10" s="15" t="s">
        <v>45</v>
      </c>
    </row>
    <row r="11" spans="2:10" ht="21.95" customHeight="1" x14ac:dyDescent="0.25">
      <c r="B11" s="17">
        <v>4</v>
      </c>
      <c r="C11" s="18" t="s">
        <v>17</v>
      </c>
      <c r="D11" s="18" t="s">
        <v>10</v>
      </c>
      <c r="E11" s="17" t="s">
        <v>5</v>
      </c>
      <c r="F11" s="15" t="s">
        <v>48</v>
      </c>
      <c r="G11" s="9" t="s">
        <v>32</v>
      </c>
      <c r="H11" s="15"/>
    </row>
    <row r="12" spans="2:10" ht="21.95" customHeight="1" x14ac:dyDescent="0.25">
      <c r="B12" s="17">
        <v>5</v>
      </c>
      <c r="C12" s="18" t="s">
        <v>18</v>
      </c>
      <c r="D12" s="18" t="s">
        <v>11</v>
      </c>
      <c r="E12" s="17" t="s">
        <v>5</v>
      </c>
      <c r="F12" s="15" t="s">
        <v>43</v>
      </c>
      <c r="G12" s="9" t="s">
        <v>30</v>
      </c>
      <c r="H12" s="15"/>
    </row>
    <row r="13" spans="2:10" ht="21.95" customHeight="1" x14ac:dyDescent="0.25">
      <c r="B13" s="17">
        <v>6</v>
      </c>
      <c r="C13" s="18" t="s">
        <v>19</v>
      </c>
      <c r="D13" s="18" t="s">
        <v>12</v>
      </c>
      <c r="E13" s="17" t="s">
        <v>4</v>
      </c>
      <c r="F13" s="15" t="s">
        <v>46</v>
      </c>
      <c r="G13" s="9" t="s">
        <v>32</v>
      </c>
      <c r="H13" s="15"/>
    </row>
    <row r="14" spans="2:10" ht="21.95" customHeight="1" x14ac:dyDescent="0.25">
      <c r="B14" s="17">
        <v>7</v>
      </c>
      <c r="C14" s="18" t="s">
        <v>19</v>
      </c>
      <c r="D14" s="18" t="s">
        <v>13</v>
      </c>
      <c r="E14" s="17" t="s">
        <v>5</v>
      </c>
      <c r="F14" s="15" t="s">
        <v>47</v>
      </c>
      <c r="G14" s="9" t="s">
        <v>31</v>
      </c>
      <c r="H14" s="15"/>
    </row>
    <row r="15" spans="2:10" ht="21.95" customHeight="1" x14ac:dyDescent="0.25">
      <c r="B15" s="17">
        <v>8</v>
      </c>
      <c r="C15" s="18" t="s">
        <v>18</v>
      </c>
      <c r="D15" s="18" t="s">
        <v>35</v>
      </c>
      <c r="E15" s="17" t="s">
        <v>5</v>
      </c>
      <c r="F15" s="15" t="s">
        <v>43</v>
      </c>
      <c r="G15" s="9" t="s">
        <v>30</v>
      </c>
      <c r="H15" s="15"/>
    </row>
    <row r="16" spans="2:10" ht="21.95" customHeight="1" x14ac:dyDescent="0.25">
      <c r="B16" s="17">
        <v>9</v>
      </c>
      <c r="C16" s="18" t="s">
        <v>18</v>
      </c>
      <c r="D16" s="18" t="s">
        <v>20</v>
      </c>
      <c r="E16" s="17" t="s">
        <v>4</v>
      </c>
      <c r="F16" s="15" t="s">
        <v>48</v>
      </c>
      <c r="G16" s="9" t="s">
        <v>32</v>
      </c>
      <c r="H16" s="15"/>
    </row>
    <row r="17" spans="2:8" ht="21.95" customHeight="1" x14ac:dyDescent="0.25">
      <c r="B17" s="17">
        <v>10</v>
      </c>
      <c r="C17" s="18"/>
      <c r="D17" s="18"/>
      <c r="E17" s="17" t="s">
        <v>4</v>
      </c>
      <c r="F17" s="15"/>
      <c r="G17" s="9" t="s">
        <v>34</v>
      </c>
      <c r="H17" s="15"/>
    </row>
    <row r="18" spans="2:8" ht="47.25" customHeight="1" x14ac:dyDescent="0.3">
      <c r="B18" s="25" t="s">
        <v>50</v>
      </c>
      <c r="C18" s="22">
        <f>D3+2</f>
        <v>45553</v>
      </c>
      <c r="D18" s="19"/>
      <c r="E18" s="19"/>
      <c r="F18" s="19"/>
      <c r="G18" s="19"/>
      <c r="H18" s="19"/>
    </row>
    <row r="19" spans="2:8" ht="27" customHeight="1" x14ac:dyDescent="0.25">
      <c r="B19" s="16" t="s">
        <v>41</v>
      </c>
      <c r="C19" s="16" t="s">
        <v>1</v>
      </c>
      <c r="D19" s="16" t="s">
        <v>36</v>
      </c>
      <c r="E19" s="16" t="s">
        <v>37</v>
      </c>
      <c r="F19" s="16" t="s">
        <v>0</v>
      </c>
      <c r="G19" s="16" t="s">
        <v>57</v>
      </c>
      <c r="H19" s="16" t="s">
        <v>38</v>
      </c>
    </row>
    <row r="20" spans="2:8" ht="21.95" customHeight="1" x14ac:dyDescent="0.25">
      <c r="B20" s="17">
        <v>1</v>
      </c>
      <c r="C20" s="18" t="s">
        <v>14</v>
      </c>
      <c r="D20" s="18" t="s">
        <v>8</v>
      </c>
      <c r="E20" s="17" t="s">
        <v>4</v>
      </c>
      <c r="F20" s="15" t="s">
        <v>21</v>
      </c>
      <c r="G20" s="9" t="s">
        <v>34</v>
      </c>
      <c r="H20" s="15" t="s">
        <v>25</v>
      </c>
    </row>
    <row r="21" spans="2:8" ht="21.95" customHeight="1" x14ac:dyDescent="0.25">
      <c r="B21" s="17">
        <v>2</v>
      </c>
      <c r="C21" s="18" t="s">
        <v>15</v>
      </c>
      <c r="D21" s="18" t="s">
        <v>9</v>
      </c>
      <c r="E21" s="17" t="s">
        <v>5</v>
      </c>
      <c r="F21" s="15" t="s">
        <v>22</v>
      </c>
      <c r="G21" s="9" t="s">
        <v>30</v>
      </c>
      <c r="H21" s="15" t="s">
        <v>26</v>
      </c>
    </row>
    <row r="22" spans="2:8" ht="21.95" customHeight="1" x14ac:dyDescent="0.25">
      <c r="B22" s="17">
        <v>3</v>
      </c>
      <c r="C22" s="18" t="s">
        <v>16</v>
      </c>
      <c r="D22" s="18" t="s">
        <v>3</v>
      </c>
      <c r="E22" s="17" t="s">
        <v>6</v>
      </c>
      <c r="F22" s="15" t="s">
        <v>23</v>
      </c>
      <c r="G22" s="9" t="s">
        <v>31</v>
      </c>
      <c r="H22" s="15" t="s">
        <v>27</v>
      </c>
    </row>
    <row r="23" spans="2:8" ht="21.95" customHeight="1" x14ac:dyDescent="0.25">
      <c r="B23" s="17">
        <v>4</v>
      </c>
      <c r="C23" s="18" t="s">
        <v>17</v>
      </c>
      <c r="D23" s="18" t="s">
        <v>10</v>
      </c>
      <c r="E23" s="17" t="s">
        <v>5</v>
      </c>
      <c r="F23" s="15" t="s">
        <v>24</v>
      </c>
      <c r="G23" s="9" t="s">
        <v>32</v>
      </c>
      <c r="H23" s="15" t="s">
        <v>28</v>
      </c>
    </row>
    <row r="24" spans="2:8" ht="21.95" customHeight="1" x14ac:dyDescent="0.25">
      <c r="B24" s="17">
        <v>5</v>
      </c>
      <c r="C24" s="18" t="s">
        <v>18</v>
      </c>
      <c r="D24" s="18" t="s">
        <v>11</v>
      </c>
      <c r="E24" s="17" t="s">
        <v>5</v>
      </c>
      <c r="F24" s="15"/>
      <c r="G24" s="9" t="s">
        <v>34</v>
      </c>
      <c r="H24" s="15"/>
    </row>
    <row r="25" spans="2:8" ht="21.95" customHeight="1" x14ac:dyDescent="0.25">
      <c r="B25" s="17">
        <v>6</v>
      </c>
      <c r="C25" s="18" t="s">
        <v>19</v>
      </c>
      <c r="D25" s="18" t="s">
        <v>12</v>
      </c>
      <c r="E25" s="17" t="s">
        <v>4</v>
      </c>
      <c r="F25" s="15"/>
      <c r="G25" s="9" t="s">
        <v>30</v>
      </c>
      <c r="H25" s="15"/>
    </row>
    <row r="26" spans="2:8" ht="21.95" customHeight="1" x14ac:dyDescent="0.25">
      <c r="B26" s="17">
        <v>7</v>
      </c>
      <c r="C26" s="18" t="s">
        <v>19</v>
      </c>
      <c r="D26" s="18" t="s">
        <v>13</v>
      </c>
      <c r="E26" s="17" t="s">
        <v>5</v>
      </c>
      <c r="F26" s="15"/>
      <c r="G26" s="9" t="s">
        <v>32</v>
      </c>
      <c r="H26" s="15"/>
    </row>
    <row r="27" spans="2:8" ht="21.95" customHeight="1" x14ac:dyDescent="0.25">
      <c r="B27" s="17">
        <v>8</v>
      </c>
      <c r="C27" s="18" t="s">
        <v>18</v>
      </c>
      <c r="D27" s="18" t="s">
        <v>35</v>
      </c>
      <c r="E27" s="17" t="s">
        <v>5</v>
      </c>
      <c r="F27" s="15"/>
      <c r="G27" s="9" t="s">
        <v>32</v>
      </c>
      <c r="H27" s="15"/>
    </row>
    <row r="28" spans="2:8" ht="21.95" customHeight="1" x14ac:dyDescent="0.25">
      <c r="B28" s="17">
        <v>9</v>
      </c>
      <c r="C28" s="18" t="s">
        <v>18</v>
      </c>
      <c r="D28" s="18" t="s">
        <v>20</v>
      </c>
      <c r="E28" s="17" t="s">
        <v>4</v>
      </c>
      <c r="F28" s="15"/>
      <c r="G28" s="9" t="s">
        <v>33</v>
      </c>
      <c r="H28" s="15"/>
    </row>
    <row r="29" spans="2:8" ht="21.95" customHeight="1" x14ac:dyDescent="0.25">
      <c r="B29" s="17">
        <v>10</v>
      </c>
      <c r="C29" s="18"/>
      <c r="D29" s="18"/>
      <c r="E29" s="17" t="s">
        <v>4</v>
      </c>
      <c r="F29" s="15"/>
      <c r="G29" s="9" t="s">
        <v>34</v>
      </c>
      <c r="H29" s="15"/>
    </row>
    <row r="30" spans="2:8" ht="47.25" customHeight="1" x14ac:dyDescent="0.3">
      <c r="B30" s="24" t="s">
        <v>49</v>
      </c>
      <c r="C30" s="22">
        <f>D3+3</f>
        <v>45554</v>
      </c>
      <c r="D30" s="19"/>
      <c r="E30" s="19"/>
      <c r="F30" s="19"/>
      <c r="G30" s="19"/>
      <c r="H30" s="19"/>
    </row>
    <row r="31" spans="2:8" ht="27" customHeight="1" x14ac:dyDescent="0.25">
      <c r="B31" s="16" t="s">
        <v>41</v>
      </c>
      <c r="C31" s="16" t="s">
        <v>1</v>
      </c>
      <c r="D31" s="16" t="s">
        <v>36</v>
      </c>
      <c r="E31" s="16" t="s">
        <v>37</v>
      </c>
      <c r="F31" s="16" t="s">
        <v>0</v>
      </c>
      <c r="G31" s="16" t="s">
        <v>57</v>
      </c>
      <c r="H31" s="16" t="s">
        <v>38</v>
      </c>
    </row>
    <row r="32" spans="2:8" ht="21.95" customHeight="1" x14ac:dyDescent="0.25">
      <c r="B32" s="17">
        <v>1</v>
      </c>
      <c r="C32" s="18" t="s">
        <v>14</v>
      </c>
      <c r="D32" s="18" t="s">
        <v>8</v>
      </c>
      <c r="E32" s="17" t="s">
        <v>4</v>
      </c>
      <c r="F32" s="15" t="s">
        <v>21</v>
      </c>
      <c r="G32" s="9" t="s">
        <v>34</v>
      </c>
      <c r="H32" s="15" t="s">
        <v>25</v>
      </c>
    </row>
    <row r="33" spans="2:8" ht="21.95" customHeight="1" x14ac:dyDescent="0.25">
      <c r="B33" s="17">
        <v>2</v>
      </c>
      <c r="C33" s="18" t="s">
        <v>15</v>
      </c>
      <c r="D33" s="18" t="s">
        <v>9</v>
      </c>
      <c r="E33" s="17" t="s">
        <v>5</v>
      </c>
      <c r="F33" s="15" t="s">
        <v>22</v>
      </c>
      <c r="G33" s="9" t="s">
        <v>30</v>
      </c>
      <c r="H33" s="15" t="s">
        <v>26</v>
      </c>
    </row>
    <row r="34" spans="2:8" ht="21.95" customHeight="1" x14ac:dyDescent="0.25">
      <c r="B34" s="17">
        <v>3</v>
      </c>
      <c r="C34" s="18" t="s">
        <v>16</v>
      </c>
      <c r="D34" s="18" t="s">
        <v>3</v>
      </c>
      <c r="E34" s="17" t="s">
        <v>6</v>
      </c>
      <c r="F34" s="15" t="s">
        <v>23</v>
      </c>
      <c r="G34" s="9" t="s">
        <v>31</v>
      </c>
      <c r="H34" s="15" t="s">
        <v>27</v>
      </c>
    </row>
    <row r="35" spans="2:8" ht="21.95" customHeight="1" x14ac:dyDescent="0.25">
      <c r="B35" s="17">
        <v>4</v>
      </c>
      <c r="C35" s="18" t="s">
        <v>17</v>
      </c>
      <c r="D35" s="18" t="s">
        <v>10</v>
      </c>
      <c r="E35" s="17" t="s">
        <v>5</v>
      </c>
      <c r="F35" s="15" t="s">
        <v>24</v>
      </c>
      <c r="G35" s="9" t="s">
        <v>32</v>
      </c>
      <c r="H35" s="15" t="s">
        <v>28</v>
      </c>
    </row>
    <row r="36" spans="2:8" ht="21.95" customHeight="1" x14ac:dyDescent="0.25">
      <c r="B36" s="17">
        <v>5</v>
      </c>
      <c r="C36" s="18" t="s">
        <v>18</v>
      </c>
      <c r="D36" s="18" t="s">
        <v>11</v>
      </c>
      <c r="E36" s="17" t="s">
        <v>5</v>
      </c>
      <c r="F36" s="15"/>
      <c r="G36" s="9" t="s">
        <v>34</v>
      </c>
      <c r="H36" s="15"/>
    </row>
    <row r="37" spans="2:8" ht="21.95" customHeight="1" x14ac:dyDescent="0.25">
      <c r="B37" s="17">
        <v>6</v>
      </c>
      <c r="C37" s="18" t="s">
        <v>19</v>
      </c>
      <c r="D37" s="18" t="s">
        <v>12</v>
      </c>
      <c r="E37" s="17" t="s">
        <v>4</v>
      </c>
      <c r="F37" s="15"/>
      <c r="G37" s="9" t="s">
        <v>30</v>
      </c>
      <c r="H37" s="15"/>
    </row>
    <row r="38" spans="2:8" ht="21.95" customHeight="1" x14ac:dyDescent="0.25">
      <c r="B38" s="17">
        <v>7</v>
      </c>
      <c r="C38" s="18" t="s">
        <v>19</v>
      </c>
      <c r="D38" s="18" t="s">
        <v>13</v>
      </c>
      <c r="E38" s="17" t="s">
        <v>5</v>
      </c>
      <c r="F38" s="15"/>
      <c r="G38" s="9" t="s">
        <v>32</v>
      </c>
      <c r="H38" s="15"/>
    </row>
    <row r="39" spans="2:8" ht="21.95" customHeight="1" x14ac:dyDescent="0.25">
      <c r="B39" s="17">
        <v>8</v>
      </c>
      <c r="C39" s="18" t="s">
        <v>18</v>
      </c>
      <c r="D39" s="18" t="s">
        <v>35</v>
      </c>
      <c r="E39" s="17" t="s">
        <v>5</v>
      </c>
      <c r="F39" s="15"/>
      <c r="G39" s="9" t="s">
        <v>32</v>
      </c>
      <c r="H39" s="15"/>
    </row>
    <row r="40" spans="2:8" ht="21.95" customHeight="1" x14ac:dyDescent="0.25">
      <c r="B40" s="17">
        <v>9</v>
      </c>
      <c r="C40" s="18" t="s">
        <v>18</v>
      </c>
      <c r="D40" s="18" t="s">
        <v>20</v>
      </c>
      <c r="E40" s="17" t="s">
        <v>4</v>
      </c>
      <c r="F40" s="15"/>
      <c r="G40" s="9" t="s">
        <v>33</v>
      </c>
      <c r="H40" s="15"/>
    </row>
    <row r="41" spans="2:8" ht="21.95" customHeight="1" x14ac:dyDescent="0.25">
      <c r="B41" s="17">
        <v>10</v>
      </c>
      <c r="C41" s="18"/>
      <c r="D41" s="18"/>
      <c r="E41" s="17" t="s">
        <v>4</v>
      </c>
      <c r="F41" s="15"/>
      <c r="G41" s="9" t="s">
        <v>34</v>
      </c>
      <c r="H41" s="15"/>
    </row>
    <row r="42" spans="2:8" ht="47.25" customHeight="1" x14ac:dyDescent="0.3">
      <c r="B42" s="25" t="s">
        <v>52</v>
      </c>
      <c r="C42" s="22">
        <f>D3+4</f>
        <v>45555</v>
      </c>
      <c r="D42" s="19"/>
      <c r="E42" s="19"/>
      <c r="F42" s="19"/>
      <c r="G42" s="19"/>
      <c r="H42" s="19"/>
    </row>
    <row r="43" spans="2:8" ht="27" customHeight="1" x14ac:dyDescent="0.25">
      <c r="B43" s="16" t="s">
        <v>41</v>
      </c>
      <c r="C43" s="16" t="s">
        <v>1</v>
      </c>
      <c r="D43" s="16" t="s">
        <v>36</v>
      </c>
      <c r="E43" s="16" t="s">
        <v>37</v>
      </c>
      <c r="F43" s="16" t="s">
        <v>0</v>
      </c>
      <c r="G43" s="16" t="s">
        <v>57</v>
      </c>
      <c r="H43" s="16" t="s">
        <v>38</v>
      </c>
    </row>
    <row r="44" spans="2:8" ht="21.95" customHeight="1" x14ac:dyDescent="0.25">
      <c r="B44" s="17">
        <v>1</v>
      </c>
      <c r="C44" s="18" t="s">
        <v>14</v>
      </c>
      <c r="D44" s="18" t="s">
        <v>8</v>
      </c>
      <c r="E44" s="17" t="s">
        <v>4</v>
      </c>
      <c r="F44" s="15" t="s">
        <v>21</v>
      </c>
      <c r="G44" s="9" t="s">
        <v>34</v>
      </c>
      <c r="H44" s="15" t="s">
        <v>25</v>
      </c>
    </row>
    <row r="45" spans="2:8" ht="21.95" customHeight="1" x14ac:dyDescent="0.25">
      <c r="B45" s="17">
        <v>2</v>
      </c>
      <c r="C45" s="18" t="s">
        <v>15</v>
      </c>
      <c r="D45" s="18" t="s">
        <v>9</v>
      </c>
      <c r="E45" s="17" t="s">
        <v>5</v>
      </c>
      <c r="F45" s="15" t="s">
        <v>22</v>
      </c>
      <c r="G45" s="9" t="s">
        <v>30</v>
      </c>
      <c r="H45" s="15" t="s">
        <v>26</v>
      </c>
    </row>
    <row r="46" spans="2:8" ht="21.95" customHeight="1" x14ac:dyDescent="0.25">
      <c r="B46" s="17">
        <v>3</v>
      </c>
      <c r="C46" s="18" t="s">
        <v>16</v>
      </c>
      <c r="D46" s="18" t="s">
        <v>3</v>
      </c>
      <c r="E46" s="17" t="s">
        <v>6</v>
      </c>
      <c r="F46" s="15" t="s">
        <v>23</v>
      </c>
      <c r="G46" s="9" t="s">
        <v>31</v>
      </c>
      <c r="H46" s="15" t="s">
        <v>27</v>
      </c>
    </row>
    <row r="47" spans="2:8" ht="21.95" customHeight="1" x14ac:dyDescent="0.25">
      <c r="B47" s="17">
        <v>4</v>
      </c>
      <c r="C47" s="18" t="s">
        <v>17</v>
      </c>
      <c r="D47" s="18" t="s">
        <v>10</v>
      </c>
      <c r="E47" s="17" t="s">
        <v>5</v>
      </c>
      <c r="F47" s="15" t="s">
        <v>24</v>
      </c>
      <c r="G47" s="9" t="s">
        <v>32</v>
      </c>
      <c r="H47" s="15" t="s">
        <v>28</v>
      </c>
    </row>
    <row r="48" spans="2:8" ht="21.95" customHeight="1" x14ac:dyDescent="0.25">
      <c r="B48" s="17">
        <v>5</v>
      </c>
      <c r="C48" s="18" t="s">
        <v>18</v>
      </c>
      <c r="D48" s="18" t="s">
        <v>11</v>
      </c>
      <c r="E48" s="17" t="s">
        <v>5</v>
      </c>
      <c r="F48" s="15"/>
      <c r="G48" s="9" t="s">
        <v>34</v>
      </c>
      <c r="H48" s="15"/>
    </row>
    <row r="49" spans="2:8" ht="21.95" customHeight="1" x14ac:dyDescent="0.25">
      <c r="B49" s="17">
        <v>6</v>
      </c>
      <c r="C49" s="18" t="s">
        <v>19</v>
      </c>
      <c r="D49" s="18" t="s">
        <v>12</v>
      </c>
      <c r="E49" s="17" t="s">
        <v>4</v>
      </c>
      <c r="F49" s="15"/>
      <c r="G49" s="9" t="s">
        <v>30</v>
      </c>
      <c r="H49" s="15"/>
    </row>
    <row r="50" spans="2:8" ht="21.95" customHeight="1" x14ac:dyDescent="0.25">
      <c r="B50" s="17">
        <v>7</v>
      </c>
      <c r="C50" s="18" t="s">
        <v>19</v>
      </c>
      <c r="D50" s="18" t="s">
        <v>13</v>
      </c>
      <c r="E50" s="17" t="s">
        <v>5</v>
      </c>
      <c r="F50" s="15"/>
      <c r="G50" s="9" t="s">
        <v>32</v>
      </c>
      <c r="H50" s="15"/>
    </row>
    <row r="51" spans="2:8" ht="21.95" customHeight="1" x14ac:dyDescent="0.25">
      <c r="B51" s="17">
        <v>8</v>
      </c>
      <c r="C51" s="18" t="s">
        <v>18</v>
      </c>
      <c r="D51" s="18" t="s">
        <v>35</v>
      </c>
      <c r="E51" s="17" t="s">
        <v>5</v>
      </c>
      <c r="F51" s="15"/>
      <c r="G51" s="9" t="s">
        <v>32</v>
      </c>
      <c r="H51" s="15"/>
    </row>
    <row r="52" spans="2:8" ht="21.95" customHeight="1" x14ac:dyDescent="0.25">
      <c r="B52" s="17">
        <v>9</v>
      </c>
      <c r="C52" s="18" t="s">
        <v>18</v>
      </c>
      <c r="D52" s="18" t="s">
        <v>20</v>
      </c>
      <c r="E52" s="17" t="s">
        <v>4</v>
      </c>
      <c r="F52" s="15"/>
      <c r="G52" s="9" t="s">
        <v>33</v>
      </c>
      <c r="H52" s="15"/>
    </row>
    <row r="53" spans="2:8" ht="21.95" customHeight="1" x14ac:dyDescent="0.25">
      <c r="B53" s="17">
        <v>10</v>
      </c>
      <c r="C53" s="18"/>
      <c r="D53" s="18"/>
      <c r="E53" s="17" t="s">
        <v>4</v>
      </c>
      <c r="F53" s="15"/>
      <c r="G53" s="9" t="s">
        <v>34</v>
      </c>
      <c r="H53" s="15"/>
    </row>
    <row r="54" spans="2:8" ht="47.25" customHeight="1" x14ac:dyDescent="0.3">
      <c r="B54" s="25" t="s">
        <v>53</v>
      </c>
      <c r="C54" s="22">
        <f>D3+5</f>
        <v>45556</v>
      </c>
      <c r="D54" s="19"/>
      <c r="E54" s="19"/>
      <c r="F54" s="19"/>
      <c r="G54" s="19"/>
      <c r="H54" s="19"/>
    </row>
    <row r="55" spans="2:8" ht="27" customHeight="1" x14ac:dyDescent="0.25">
      <c r="B55" s="16" t="s">
        <v>41</v>
      </c>
      <c r="C55" s="16" t="s">
        <v>1</v>
      </c>
      <c r="D55" s="16" t="s">
        <v>36</v>
      </c>
      <c r="E55" s="16" t="s">
        <v>37</v>
      </c>
      <c r="F55" s="16" t="s">
        <v>0</v>
      </c>
      <c r="G55" s="16" t="s">
        <v>57</v>
      </c>
      <c r="H55" s="16" t="s">
        <v>38</v>
      </c>
    </row>
    <row r="56" spans="2:8" ht="21.95" customHeight="1" x14ac:dyDescent="0.25">
      <c r="B56" s="17">
        <v>1</v>
      </c>
      <c r="C56" s="18" t="s">
        <v>14</v>
      </c>
      <c r="D56" s="18" t="s">
        <v>8</v>
      </c>
      <c r="E56" s="17" t="s">
        <v>4</v>
      </c>
      <c r="F56" s="15" t="s">
        <v>21</v>
      </c>
      <c r="G56" s="9" t="s">
        <v>34</v>
      </c>
      <c r="H56" s="15" t="s">
        <v>25</v>
      </c>
    </row>
    <row r="57" spans="2:8" ht="21.95" customHeight="1" x14ac:dyDescent="0.25">
      <c r="B57" s="17">
        <v>2</v>
      </c>
      <c r="C57" s="18" t="s">
        <v>15</v>
      </c>
      <c r="D57" s="18" t="s">
        <v>9</v>
      </c>
      <c r="E57" s="17" t="s">
        <v>5</v>
      </c>
      <c r="F57" s="15" t="s">
        <v>22</v>
      </c>
      <c r="G57" s="9" t="s">
        <v>30</v>
      </c>
      <c r="H57" s="15" t="s">
        <v>26</v>
      </c>
    </row>
    <row r="58" spans="2:8" ht="21.95" customHeight="1" x14ac:dyDescent="0.25">
      <c r="B58" s="17">
        <v>3</v>
      </c>
      <c r="C58" s="18" t="s">
        <v>16</v>
      </c>
      <c r="D58" s="18" t="s">
        <v>3</v>
      </c>
      <c r="E58" s="17" t="s">
        <v>6</v>
      </c>
      <c r="F58" s="15" t="s">
        <v>23</v>
      </c>
      <c r="G58" s="9" t="s">
        <v>31</v>
      </c>
      <c r="H58" s="15" t="s">
        <v>27</v>
      </c>
    </row>
    <row r="59" spans="2:8" ht="21.95" customHeight="1" x14ac:dyDescent="0.25">
      <c r="B59" s="17">
        <v>4</v>
      </c>
      <c r="C59" s="18" t="s">
        <v>17</v>
      </c>
      <c r="D59" s="18" t="s">
        <v>10</v>
      </c>
      <c r="E59" s="17" t="s">
        <v>5</v>
      </c>
      <c r="F59" s="15" t="s">
        <v>24</v>
      </c>
      <c r="G59" s="9" t="s">
        <v>32</v>
      </c>
      <c r="H59" s="15" t="s">
        <v>28</v>
      </c>
    </row>
    <row r="60" spans="2:8" ht="21.95" customHeight="1" x14ac:dyDescent="0.25">
      <c r="B60" s="17">
        <v>5</v>
      </c>
      <c r="C60" s="18" t="s">
        <v>18</v>
      </c>
      <c r="D60" s="18" t="s">
        <v>11</v>
      </c>
      <c r="E60" s="17" t="s">
        <v>5</v>
      </c>
      <c r="F60" s="15"/>
      <c r="G60" s="9" t="s">
        <v>34</v>
      </c>
      <c r="H60" s="15"/>
    </row>
    <row r="61" spans="2:8" ht="21.95" customHeight="1" x14ac:dyDescent="0.25">
      <c r="B61" s="17">
        <v>6</v>
      </c>
      <c r="C61" s="18" t="s">
        <v>19</v>
      </c>
      <c r="D61" s="18" t="s">
        <v>12</v>
      </c>
      <c r="E61" s="17" t="s">
        <v>4</v>
      </c>
      <c r="F61" s="15"/>
      <c r="G61" s="9" t="s">
        <v>30</v>
      </c>
      <c r="H61" s="15"/>
    </row>
    <row r="62" spans="2:8" ht="21.95" customHeight="1" x14ac:dyDescent="0.25">
      <c r="B62" s="17">
        <v>7</v>
      </c>
      <c r="C62" s="18" t="s">
        <v>19</v>
      </c>
      <c r="D62" s="18" t="s">
        <v>13</v>
      </c>
      <c r="E62" s="17" t="s">
        <v>5</v>
      </c>
      <c r="F62" s="15"/>
      <c r="G62" s="9" t="s">
        <v>32</v>
      </c>
      <c r="H62" s="15"/>
    </row>
    <row r="63" spans="2:8" ht="21.95" customHeight="1" x14ac:dyDescent="0.25">
      <c r="B63" s="17">
        <v>8</v>
      </c>
      <c r="C63" s="18" t="s">
        <v>18</v>
      </c>
      <c r="D63" s="18" t="s">
        <v>35</v>
      </c>
      <c r="E63" s="17" t="s">
        <v>5</v>
      </c>
      <c r="F63" s="15"/>
      <c r="G63" s="9" t="s">
        <v>32</v>
      </c>
      <c r="H63" s="15"/>
    </row>
    <row r="64" spans="2:8" ht="21.95" customHeight="1" x14ac:dyDescent="0.25">
      <c r="B64" s="17">
        <v>9</v>
      </c>
      <c r="C64" s="18" t="s">
        <v>18</v>
      </c>
      <c r="D64" s="18" t="s">
        <v>20</v>
      </c>
      <c r="E64" s="17" t="s">
        <v>4</v>
      </c>
      <c r="F64" s="15"/>
      <c r="G64" s="9" t="s">
        <v>33</v>
      </c>
      <c r="H64" s="15"/>
    </row>
    <row r="65" spans="2:8" ht="21.95" customHeight="1" x14ac:dyDescent="0.25">
      <c r="B65" s="17">
        <v>10</v>
      </c>
      <c r="C65" s="18"/>
      <c r="D65" s="18"/>
      <c r="E65" s="17" t="s">
        <v>4</v>
      </c>
      <c r="F65" s="15"/>
      <c r="G65" s="9" t="s">
        <v>34</v>
      </c>
      <c r="H65" s="15"/>
    </row>
    <row r="66" spans="2:8" ht="15" customHeight="1" x14ac:dyDescent="0.25">
      <c r="B66" s="7"/>
      <c r="C66" s="20"/>
      <c r="D66" s="20"/>
      <c r="E66" s="7"/>
      <c r="F66" s="21"/>
      <c r="G66" s="7"/>
      <c r="H66" s="21"/>
    </row>
  </sheetData>
  <mergeCells count="10">
    <mergeCell ref="B4:C4"/>
    <mergeCell ref="B5:C5"/>
    <mergeCell ref="D4:H4"/>
    <mergeCell ref="D5:H5"/>
    <mergeCell ref="B2:C2"/>
    <mergeCell ref="E2:F2"/>
    <mergeCell ref="G2:H2"/>
    <mergeCell ref="B3:C3"/>
    <mergeCell ref="E3:F3"/>
    <mergeCell ref="G3:H3"/>
  </mergeCells>
  <conditionalFormatting sqref="B8:B17 B20:B29 B32:B41 B44:B53 B56:B66">
    <cfRule type="containsText" dxfId="25" priority="9" operator="containsText" text="Update">
      <formula>NOT(ISERROR(SEARCH("Update",B8)))</formula>
    </cfRule>
    <cfRule type="containsText" dxfId="24" priority="10" operator="containsText" text="Task">
      <formula>NOT(ISERROR(SEARCH("Task",B8)))</formula>
    </cfRule>
    <cfRule type="containsText" dxfId="23" priority="11" operator="containsText" text="Content">
      <formula>NOT(ISERROR(SEARCH("Content",B8)))</formula>
    </cfRule>
    <cfRule type="containsText" dxfId="22" priority="12" operator="containsText" text="Feature">
      <formula>NOT(ISERROR(SEARCH("Feature",B8)))</formula>
    </cfRule>
    <cfRule type="containsText" dxfId="21" priority="13" operator="containsText" text="Research">
      <formula>NOT(ISERROR(SEARCH("Research",B8)))</formula>
    </cfRule>
  </conditionalFormatting>
  <conditionalFormatting sqref="E8:E17 E20:E29 E32:E41 E44:E53 E56:E66">
    <cfRule type="containsText" dxfId="20" priority="1" operator="containsText" text="Low">
      <formula>NOT(ISERROR(SEARCH("Low",E8)))</formula>
    </cfRule>
    <cfRule type="containsText" dxfId="19" priority="2" operator="containsText" text="Medium">
      <formula>NOT(ISERROR(SEARCH("Medium",E8)))</formula>
    </cfRule>
    <cfRule type="containsText" dxfId="18" priority="3" operator="containsText" text="High">
      <formula>NOT(ISERROR(SEARCH("High",E8)))</formula>
    </cfRule>
  </conditionalFormatting>
  <conditionalFormatting sqref="G8:G17 G20:G29 G32:G41 G44:G53 G56:G66">
    <cfRule type="containsText" dxfId="17" priority="4" operator="containsText" text="Testing">
      <formula>NOT(ISERROR(SEARCH("Testing",G8)))</formula>
    </cfRule>
    <cfRule type="containsText" dxfId="16" priority="5" operator="containsText" text="On Hold">
      <formula>NOT(ISERROR(SEARCH("On Hold",G8)))</formula>
    </cfRule>
    <cfRule type="containsText" dxfId="15" priority="6" operator="containsText" text="Complete">
      <formula>NOT(ISERROR(SEARCH("Complete",G8)))</formula>
    </cfRule>
    <cfRule type="containsText" dxfId="14" priority="7" operator="containsText" text="Ready to Start">
      <formula>NOT(ISERROR(SEARCH("Ready to Start",G8)))</formula>
    </cfRule>
    <cfRule type="containsText" dxfId="13" priority="8" operator="containsText" text="In Progress">
      <formula>NOT(ISERROR(SEARCH("In Progress",G8)))</formula>
    </cfRule>
  </conditionalFormatting>
  <hyperlinks>
    <hyperlink ref="D4" r:id="rId1" xr:uid="{42866E83-3CDE-47FA-A6A8-394F27F6D795}"/>
    <hyperlink ref="D5" r:id="rId2" xr:uid="{DDEF474E-6D28-410F-A756-60EE2F8761E2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41" fitToHeight="3" orientation="portrait" horizontalDpi="1200" verticalDpi="1200"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7495C4-40D7-47C7-AD7F-FCA7FD61638C}">
          <x14:formula1>
            <xm:f>'Dropdown Keys - DO NOT DELETE'!$F$4:$F$9</xm:f>
          </x14:formula1>
          <xm:sqref>G8:G17 G20:G29 G32:G41 G44:G53 G56:G66</xm:sqref>
        </x14:dataValidation>
        <x14:dataValidation type="list" allowBlank="1" showInputMessage="1" showErrorMessage="1" xr:uid="{976ED296-F4BC-4A18-A689-9A6BC069769E}">
          <x14:formula1>
            <xm:f>'Dropdown Keys - DO NOT DELETE'!$D$4:$D$7</xm:f>
          </x14:formula1>
          <xm:sqref>E8:E17 E20:E29 E32:E41 E44:E53 E56:E66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220E-7696-4C79-88D6-856ABB241FBF}">
  <sheetPr>
    <tabColor theme="0" tint="-4.9989318521683403E-2"/>
  </sheetPr>
  <dimension ref="B1:G16"/>
  <sheetViews>
    <sheetView showGridLines="0" workbookViewId="0">
      <selection activeCell="F6" sqref="F6"/>
    </sheetView>
  </sheetViews>
  <sheetFormatPr baseColWidth="10" defaultColWidth="8.85546875" defaultRowHeight="15" x14ac:dyDescent="0.25"/>
  <cols>
    <col min="1" max="1" width="3.28515625" customWidth="1"/>
    <col min="2" max="2" width="5.28515625" customWidth="1"/>
    <col min="3" max="3" width="3.28515625" customWidth="1"/>
    <col min="4" max="4" width="22.7109375" customWidth="1"/>
    <col min="5" max="5" width="3.28515625" customWidth="1"/>
    <col min="6" max="6" width="22.7109375" customWidth="1"/>
  </cols>
  <sheetData>
    <row r="1" spans="2:7" ht="15" customHeight="1" x14ac:dyDescent="0.25">
      <c r="B1" s="39" t="s">
        <v>2</v>
      </c>
      <c r="C1" s="39"/>
      <c r="D1" s="39"/>
      <c r="E1" s="39"/>
      <c r="F1" s="39"/>
      <c r="G1" s="39"/>
    </row>
    <row r="2" spans="2:7" ht="27.75" customHeight="1" x14ac:dyDescent="0.25">
      <c r="B2" s="39"/>
      <c r="C2" s="39"/>
      <c r="D2" s="39"/>
      <c r="E2" s="39"/>
      <c r="F2" s="39"/>
      <c r="G2" s="39"/>
    </row>
    <row r="3" spans="2:7" ht="21.95" customHeight="1" x14ac:dyDescent="0.25">
      <c r="B3" s="27"/>
      <c r="C3" s="7"/>
      <c r="D3" s="8" t="s">
        <v>7</v>
      </c>
      <c r="F3" s="8" t="s">
        <v>29</v>
      </c>
    </row>
    <row r="4" spans="2:7" ht="21.95" customHeight="1" x14ac:dyDescent="0.25">
      <c r="B4" s="7"/>
      <c r="C4" s="10"/>
      <c r="D4" s="9" t="s">
        <v>4</v>
      </c>
      <c r="F4" s="9" t="s">
        <v>30</v>
      </c>
    </row>
    <row r="5" spans="2:7" ht="21.95" customHeight="1" x14ac:dyDescent="0.25">
      <c r="B5" s="28"/>
      <c r="C5" s="10"/>
      <c r="D5" s="11" t="s">
        <v>5</v>
      </c>
      <c r="F5" s="11" t="s">
        <v>31</v>
      </c>
    </row>
    <row r="6" spans="2:7" ht="21.95" customHeight="1" x14ac:dyDescent="0.25">
      <c r="B6" s="28"/>
      <c r="C6" s="10"/>
      <c r="D6" s="11" t="s">
        <v>6</v>
      </c>
      <c r="F6" s="43" t="s">
        <v>32</v>
      </c>
    </row>
    <row r="7" spans="2:7" ht="21.95" customHeight="1" x14ac:dyDescent="0.25">
      <c r="B7" s="7"/>
      <c r="C7" s="10"/>
      <c r="D7" s="12"/>
      <c r="F7" s="12" t="s">
        <v>33</v>
      </c>
    </row>
    <row r="8" spans="2:7" ht="21.95" customHeight="1" x14ac:dyDescent="0.25">
      <c r="B8" s="7"/>
      <c r="C8" s="10"/>
      <c r="D8" s="14"/>
      <c r="F8" s="13" t="s">
        <v>34</v>
      </c>
    </row>
    <row r="9" spans="2:7" ht="21.95" customHeight="1" x14ac:dyDescent="0.25">
      <c r="B9" s="7"/>
      <c r="C9" s="10"/>
      <c r="D9" s="14"/>
      <c r="F9" s="29" t="s">
        <v>68</v>
      </c>
    </row>
    <row r="10" spans="2:7" x14ac:dyDescent="0.25">
      <c r="B10" s="14"/>
      <c r="C10" s="10"/>
      <c r="D10" s="14"/>
      <c r="F10" s="9"/>
    </row>
    <row r="11" spans="2:7" x14ac:dyDescent="0.25">
      <c r="B11" s="14"/>
      <c r="C11" s="10"/>
      <c r="D11" s="14"/>
      <c r="F11" s="14"/>
    </row>
    <row r="12" spans="2:7" x14ac:dyDescent="0.25">
      <c r="B12" s="14"/>
      <c r="C12" s="10"/>
      <c r="D12" s="14"/>
      <c r="F12" s="14"/>
    </row>
    <row r="13" spans="2:7" x14ac:dyDescent="0.25">
      <c r="B13" s="14"/>
      <c r="C13" s="10"/>
      <c r="D13" s="14"/>
      <c r="F13" s="14"/>
    </row>
    <row r="14" spans="2:7" x14ac:dyDescent="0.25">
      <c r="B14" s="14"/>
      <c r="C14" s="10"/>
      <c r="D14" s="14"/>
      <c r="F14" s="14"/>
    </row>
    <row r="15" spans="2:7" x14ac:dyDescent="0.25">
      <c r="B15" s="14"/>
      <c r="C15" s="10"/>
      <c r="D15" s="14"/>
      <c r="F15" s="14"/>
    </row>
    <row r="16" spans="2:7" x14ac:dyDescent="0.25">
      <c r="B16" s="14"/>
      <c r="C16" s="10"/>
      <c r="D16" s="14"/>
      <c r="F16" s="14"/>
    </row>
  </sheetData>
  <mergeCells count="1">
    <mergeCell ref="B1:G2"/>
  </mergeCells>
  <conditionalFormatting sqref="B4:B9">
    <cfRule type="containsText" dxfId="12" priority="11" operator="containsText" text="Update">
      <formula>NOT(ISERROR(SEARCH("Update",B4)))</formula>
    </cfRule>
    <cfRule type="containsText" dxfId="11" priority="12" operator="containsText" text="Task">
      <formula>NOT(ISERROR(SEARCH("Task",B4)))</formula>
    </cfRule>
    <cfRule type="containsText" dxfId="10" priority="13" operator="containsText" text="Content">
      <formula>NOT(ISERROR(SEARCH("Content",B4)))</formula>
    </cfRule>
    <cfRule type="containsText" dxfId="9" priority="14" operator="containsText" text="Feature">
      <formula>NOT(ISERROR(SEARCH("Feature",B4)))</formula>
    </cfRule>
    <cfRule type="containsText" dxfId="8" priority="15" operator="containsText" text="Research">
      <formula>NOT(ISERROR(SEARCH("Research",B4)))</formula>
    </cfRule>
  </conditionalFormatting>
  <conditionalFormatting sqref="D4:D7">
    <cfRule type="containsText" dxfId="7" priority="6" operator="containsText" text="Low">
      <formula>NOT(ISERROR(SEARCH("Low",D4)))</formula>
    </cfRule>
    <cfRule type="containsText" dxfId="6" priority="7" operator="containsText" text="Medium">
      <formula>NOT(ISERROR(SEARCH("Medium",D4)))</formula>
    </cfRule>
    <cfRule type="containsText" dxfId="5" priority="8" operator="containsText" text="High">
      <formula>NOT(ISERROR(SEARCH("High",D4)))</formula>
    </cfRule>
  </conditionalFormatting>
  <conditionalFormatting sqref="F4:F10">
    <cfRule type="containsText" dxfId="4" priority="1" operator="containsText" text="Testing">
      <formula>NOT(ISERROR(SEARCH("Testing",F4)))</formula>
    </cfRule>
    <cfRule type="containsText" dxfId="3" priority="2" operator="containsText" text="On Hold">
      <formula>NOT(ISERROR(SEARCH("On Hold",F4)))</formula>
    </cfRule>
    <cfRule type="containsText" dxfId="2" priority="3" operator="containsText" text="Complete">
      <formula>NOT(ISERROR(SEARCH("Complete",F4)))</formula>
    </cfRule>
    <cfRule type="containsText" dxfId="1" priority="4" operator="containsText" text="Ready to Start">
      <formula>NOT(ISERROR(SEARCH("Ready to Start",F4)))</formula>
    </cfRule>
    <cfRule type="containsText" dxfId="0" priority="5" operator="containsText" text="In Progress">
      <formula>NOT(ISERROR(SEARCH("In Progress",F4)))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Daily Scrum Meeting</vt:lpstr>
      <vt:lpstr>EXAMPLE Daily Scrum Meeting</vt:lpstr>
      <vt:lpstr>Dropdown Keys - DO NOT DELETE</vt:lpstr>
      <vt:lpstr>'Daily Scrum Meeting'!Área_de_impresión</vt:lpstr>
      <vt:lpstr>'EXAMPLE Daily Scrum Meeting'!Área_de_impresión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COMISION DE LICENCIAMIENTO - UPT</cp:lastModifiedBy>
  <cp:lastPrinted>2025-09-11T16:43:43Z</cp:lastPrinted>
  <dcterms:created xsi:type="dcterms:W3CDTF">2022-10-05T00:01:56Z</dcterms:created>
  <dcterms:modified xsi:type="dcterms:W3CDTF">2025-09-18T15:27:25Z</dcterms:modified>
</cp:coreProperties>
</file>