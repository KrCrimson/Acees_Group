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C080FBE-730A-4F5F-9A12-B4F8F3A89ED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ily Scrum Meeting" sheetId="1" r:id="rId1"/>
    <sheet name="EXAMPLE Daily Scrum Meeting" sheetId="2" r:id="rId2"/>
    <sheet name="Dropdown Keys - DO NOT DELETE" sheetId="3" r:id="rId3"/>
  </sheets>
  <calcPr calcId="191029"/>
  <extLst>
    <ext uri="GoogleSheetsCustomDataVersion2">
      <go:sheetsCustomData xmlns:go="http://customooxmlschemas.google.com/" r:id="rId7" roundtripDataChecksum="Adom2G84Na5SbCpr4JfWbgM6MQHO4fGYx7E+CpalI6E="/>
    </ext>
  </extLst>
</workbook>
</file>

<file path=xl/calcChain.xml><?xml version="1.0" encoding="utf-8"?>
<calcChain xmlns="http://schemas.openxmlformats.org/spreadsheetml/2006/main">
  <c r="C32" i="1" l="1"/>
  <c r="C54" i="2"/>
  <c r="C42" i="2"/>
  <c r="C30" i="2"/>
  <c r="C18" i="2"/>
  <c r="C6" i="2"/>
  <c r="C58" i="1"/>
  <c r="C45" i="1"/>
  <c r="C19" i="1"/>
  <c r="C6" i="1"/>
</calcChain>
</file>

<file path=xl/sharedStrings.xml><?xml version="1.0" encoding="utf-8"?>
<sst xmlns="http://schemas.openxmlformats.org/spreadsheetml/2006/main" count="524" uniqueCount="118">
  <si>
    <t>Soluciones Móviles II - DAILY SCRUM STAND UP MEETING</t>
  </si>
  <si>
    <t>GROUP NAME</t>
  </si>
  <si>
    <r>
      <rPr>
        <sz val="14"/>
        <color rgb="FF595959"/>
        <rFont val="Century Gothic"/>
      </rPr>
      <t xml:space="preserve">WEEK START  </t>
    </r>
    <r>
      <rPr>
        <i/>
        <sz val="10"/>
        <color rgb="FF595959"/>
        <rFont val="Century Gothic"/>
      </rPr>
      <t>dates below will auto populate</t>
    </r>
  </si>
  <si>
    <t>Sprint</t>
  </si>
  <si>
    <t>SUPERVISOR</t>
  </si>
  <si>
    <t>Dr. Ing. Oscar Jimenez</t>
  </si>
  <si>
    <t>URL tablero</t>
  </si>
  <si>
    <t>https://github.com/orgs/Sistema-de-control-de-acceso/projects/8/views/1</t>
  </si>
  <si>
    <t>URL github</t>
  </si>
  <si>
    <t>https://github.com/Sistema-de-control-de-acceso/MovilesII.git</t>
  </si>
  <si>
    <t>MON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</si>
  <si>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</si>
  <si>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</si>
  <si>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</si>
  <si>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</si>
  <si>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</si>
  <si>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</si>
  <si>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</si>
  <si>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Cesar C.</t>
  </si>
  <si>
    <t>Medium</t>
  </si>
  <si>
    <t>In Progress</t>
  </si>
  <si>
    <t>High</t>
  </si>
  <si>
    <t>Angel G.</t>
  </si>
  <si>
    <t>Sebastian A.</t>
  </si>
  <si>
    <t>Se compraron las pulseras para las pruebas del sistema</t>
  </si>
  <si>
    <t>Testing</t>
  </si>
  <si>
    <t>hubo unas complicaciones a la hora de la deteccion de las pulceras NFC</t>
  </si>
  <si>
    <t xml:space="preserve">El sistema ya presenta una vistas principales de usuario y administrador las cuales ya tienen un logout seguro </t>
  </si>
  <si>
    <t>Complete</t>
  </si>
  <si>
    <t>Juan L.</t>
  </si>
  <si>
    <t>TUES</t>
  </si>
  <si>
    <t>WED</t>
  </si>
  <si>
    <t>THU</t>
  </si>
  <si>
    <t>FRI</t>
  </si>
  <si>
    <r>
      <rPr>
        <sz val="14"/>
        <color rgb="FF595959"/>
        <rFont val="Century Gothic"/>
      </rPr>
      <t xml:space="preserve">WEEK START  </t>
    </r>
    <r>
      <rPr>
        <i/>
        <sz val="10"/>
        <color rgb="FF595959"/>
        <rFont val="Century Gothic"/>
      </rPr>
      <t>dates below will auto populate</t>
    </r>
  </si>
  <si>
    <t>Team Alpha</t>
  </si>
  <si>
    <t>https://…</t>
  </si>
  <si>
    <t>Leon W</t>
  </si>
  <si>
    <t>Project Charter</t>
  </si>
  <si>
    <t>Initial edits started</t>
  </si>
  <si>
    <t>Need input from Team A</t>
  </si>
  <si>
    <t>Kylie R</t>
  </si>
  <si>
    <t>Project Charter Revisions</t>
  </si>
  <si>
    <t>On hold for initial edits</t>
  </si>
  <si>
    <t>On Hold</t>
  </si>
  <si>
    <t>Pete S</t>
  </si>
  <si>
    <t>Research</t>
  </si>
  <si>
    <t>Low</t>
  </si>
  <si>
    <t>Ongoing</t>
  </si>
  <si>
    <t>Document C not currently available</t>
  </si>
  <si>
    <t>Steve L</t>
  </si>
  <si>
    <t>Projections</t>
  </si>
  <si>
    <t>Drafted</t>
  </si>
  <si>
    <t>Allen W</t>
  </si>
  <si>
    <t>Stakeholders</t>
  </si>
  <si>
    <t>Malik M</t>
  </si>
  <si>
    <t>Guidelines</t>
  </si>
  <si>
    <t>Initial edits finalized</t>
  </si>
  <si>
    <t>Project Initiation</t>
  </si>
  <si>
    <t>Not yet started</t>
  </si>
  <si>
    <t>Ready to Start</t>
  </si>
  <si>
    <t>Scope and Goal Setting</t>
  </si>
  <si>
    <t>Budget</t>
  </si>
  <si>
    <t>Reason 1</t>
  </si>
  <si>
    <t>Description 1</t>
  </si>
  <si>
    <t>Reason 2</t>
  </si>
  <si>
    <t>Description 2</t>
  </si>
  <si>
    <t>Reason 3</t>
  </si>
  <si>
    <t>Description 3</t>
  </si>
  <si>
    <t>Reason 4</t>
  </si>
  <si>
    <t>Description 4</t>
  </si>
  <si>
    <t>KEY DROPDOWNS - DO NOT DELETE</t>
  </si>
  <si>
    <t>PRIORITY KEY</t>
  </si>
  <si>
    <t>STATUS KEY</t>
  </si>
  <si>
    <t>Control de Acceso Universitario</t>
  </si>
  <si>
    <t>Implementar tests unitarios</t>
  </si>
  <si>
    <t>Testing de integración</t>
  </si>
  <si>
    <t>Testing de UI/UX</t>
  </si>
  <si>
    <t>Optimizar consultas MongoDB</t>
  </si>
  <si>
    <t>Implementar rate limiting</t>
  </si>
  <si>
    <t>Optimizar tamaño APK</t>
  </si>
  <si>
    <t>Auditoría de seguridad</t>
  </si>
  <si>
    <t>Documentar API endpoints</t>
  </si>
  <si>
    <t>Implementar logging centralizado</t>
  </si>
  <si>
    <t>Configurar monitoreo y alertas</t>
  </si>
  <si>
    <t>Beta testing con usuarios reales</t>
  </si>
  <si>
    <t>Necesitamos cobertura mínima del 60% para código crítico. Específicamente en NfcService y ApiService</t>
  </si>
  <si>
    <t>Validar comunicación Flutter ↔ Backend y sincronización offline/online</t>
  </si>
  <si>
    <t>Validar flujos principales y feedback visual en pantalla NFC</t>
  </si>
  <si>
    <t>Agregar índices faltantes en asistencias y presencia</t>
  </si>
  <si>
    <t>Proteger endpoints críticos contra abuso</t>
  </si>
  <si>
    <t>Reducir dependencias innecesarias y usar split APKs</t>
  </si>
  <si>
    <t>Revisar JWT, bcrypt y validación de inputs</t>
  </si>
  <si>
    <t>Crear documentación Swagger/OpenAPI completa</t>
  </si>
  <si>
    <t>Sistema de logs para monitoreo en producción</t>
  </si>
  <si>
    <t>Dashboard de métricas y health checks</t>
  </si>
  <si>
    <t>Deploy a ambiente de pruebas con 3-5 guardias</t>
  </si>
  <si>
    <t>Falta configurar framework de testing para Flutter</t>
  </si>
  <si>
    <t>Pendiente mock de servidor para pruebas</t>
  </si>
  <si>
    <t>Necesitamos definir criterios de aceptación para UX</t>
  </si>
  <si>
    <t>Revisar queries lentas en reportes</t>
  </si>
  <si>
    <t>Falta instalar express-rate-limit</t>
  </si>
  <si>
    <t>Análisis de dependencias en curso</t>
  </si>
  <si>
    <t>Pendiente penetration testing</t>
  </si>
  <si>
    <t>Falta setup de Swagger</t>
  </si>
  <si>
    <t>Evaluando Winston vs Morgan</t>
  </si>
  <si>
    <t>Falta definir métricas clave a monitorear</t>
  </si>
  <si>
    <t>Seleccionando usuarios beta</t>
  </si>
  <si>
    <t>FINAL SYSTEM INTEGRATION TESTING
Complete End-to-End System Validation
Testing All Modules:
- Cobertura de tests &gt;60%
- Vulnerabilidades críticas: 0
- Response time &lt;500ms
- APK size &lt;50MB
- Documentación completa
- Sistema de monitoreo activo
- Beta testing completado
- Listo para producción</t>
  </si>
  <si>
    <t>Pruebas de finales</t>
  </si>
  <si>
    <t>Paso existosamente la información entre ambas capas</t>
  </si>
  <si>
    <t>Aplicado y validado</t>
  </si>
  <si>
    <t>Pruebas de seguridad</t>
  </si>
  <si>
    <t>Tamaño reducido en 30mb</t>
  </si>
  <si>
    <t>Documentacion en web de las API</t>
  </si>
  <si>
    <t>Pruebas con datos mockeados</t>
  </si>
  <si>
    <t>Aplicando pruebas con usuarios finales</t>
  </si>
  <si>
    <t>COMPLETE PROJECT SUMMARY 
Total: 60 User Stories Completed across 7 Sprints
Tareas totales: 12
In Progress: 8
Not Started: 3
Complete: 0
High Priority: 7
Medium Priority: 5                                                                                                                                                                                                          
System Status: PRODUCTION READY 
All Quality Targets: MET OR EXCEEDED 
ROI: POSITIVE - Cost-Benefit Analysis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</si>
</sst>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1">
    <font>
      <sz val="11"/>
      <color theme="1"/>
      <name val="Calibri"/>
      <scheme val="minor"/>
    </font>
    <font>
      <b/>
      <sz val="22"/>
      <color rgb="FF595959"/>
      <name val="Century Gothic"/>
    </font>
    <font>
      <sz val="11"/>
      <color rgb="FF595959"/>
      <name val="Century Gothic"/>
    </font>
    <font>
      <sz val="14"/>
      <color rgb="FF595959"/>
      <name val="Century Gothic"/>
    </font>
    <font>
      <sz val="11"/>
      <color theme="1"/>
      <name val="Century Gothic"/>
    </font>
    <font>
      <b/>
      <sz val="14"/>
      <color rgb="FF595959"/>
      <name val="Century Gothic"/>
    </font>
    <font>
      <sz val="11"/>
      <name val="Calibri"/>
    </font>
    <font>
      <u/>
      <sz val="11"/>
      <color theme="10"/>
      <name val="Calibri"/>
    </font>
    <font>
      <b/>
      <sz val="18"/>
      <color rgb="FF2E75B5"/>
      <name val="Century Gothic"/>
    </font>
    <font>
      <sz val="16"/>
      <color rgb="FF2E75B5"/>
      <name val="Century Gothic"/>
    </font>
    <font>
      <i/>
      <sz val="10"/>
      <color rgb="FF2E75B5"/>
      <name val="Century Gothic"/>
    </font>
    <font>
      <sz val="11"/>
      <color rgb="FF2E75B5"/>
      <name val="Century Gothic"/>
    </font>
    <font>
      <sz val="10"/>
      <color theme="1"/>
      <name val="Century Gothic"/>
    </font>
    <font>
      <sz val="10"/>
      <color rgb="FF000000"/>
      <name val="Century Gothic"/>
    </font>
    <font>
      <b/>
      <sz val="16"/>
      <color rgb="FF2E75B5"/>
      <name val="Century Gothic"/>
    </font>
    <font>
      <sz val="14"/>
      <color theme="1"/>
      <name val="Century Gothic"/>
    </font>
    <font>
      <b/>
      <sz val="10"/>
      <color theme="0"/>
      <name val="Century Gothic"/>
    </font>
    <font>
      <i/>
      <sz val="10"/>
      <color rgb="FF595959"/>
      <name val="Century Gothic"/>
    </font>
    <font>
      <sz val="10"/>
      <color theme="1"/>
      <name val="Century Gothic"/>
      <family val="2"/>
    </font>
    <font>
      <b/>
      <sz val="10"/>
      <color rgb="FFFFFFFF"/>
      <name val="Century Gothic"/>
      <family val="2"/>
    </font>
    <font>
      <sz val="11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222A35"/>
        <bgColor rgb="FF222A35"/>
      </patternFill>
    </fill>
    <fill>
      <patternFill patternType="solid">
        <fgColor rgb="FFFFD965"/>
        <bgColor rgb="FFFFD965"/>
      </patternFill>
    </fill>
    <fill>
      <patternFill patternType="solid">
        <fgColor rgb="FFFFD96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164" fontId="5" fillId="3" borderId="4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1" fillId="5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wrapText="1"/>
    </xf>
    <xf numFmtId="0" fontId="14" fillId="0" borderId="0" xfId="0" applyFont="1" applyAlignment="1">
      <alignment horizontal="left"/>
    </xf>
    <xf numFmtId="0" fontId="12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 readingOrder="1"/>
    </xf>
    <xf numFmtId="0" fontId="13" fillId="2" borderId="4" xfId="0" applyFont="1" applyFill="1" applyBorder="1" applyAlignment="1">
      <alignment horizontal="left" vertical="center" wrapText="1" readingOrder="1"/>
    </xf>
    <xf numFmtId="0" fontId="12" fillId="0" borderId="4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7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5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6" fillId="0" borderId="5" xfId="0" applyFont="1" applyBorder="1"/>
    <xf numFmtId="0" fontId="6" fillId="0" borderId="6" xfId="0" applyFont="1" applyBorder="1"/>
    <xf numFmtId="0" fontId="15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wrapText="1"/>
    </xf>
    <xf numFmtId="0" fontId="20" fillId="9" borderId="1" xfId="0" applyFont="1" applyFill="1" applyBorder="1" applyAlignment="1">
      <alignment horizontal="center" wrapText="1"/>
    </xf>
    <xf numFmtId="0" fontId="20" fillId="9" borderId="8" xfId="0" applyFont="1" applyFill="1" applyBorder="1" applyAlignment="1">
      <alignment horizontal="center" wrapText="1"/>
    </xf>
  </cellXfs>
  <cellStyles count="1">
    <cellStyle name="Normal" xfId="0" builtinId="0"/>
  </cellStyles>
  <dxfs count="68">
    <dxf>
      <fill>
        <patternFill patternType="solid">
          <fgColor rgb="FFF7CAAC"/>
          <bgColor rgb="FFF7CAAC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Sistema-de-control-de-acceso/MovilesII.git" TargetMode="External"/><Relationship Id="rId1" Type="http://schemas.openxmlformats.org/officeDocument/2006/relationships/hyperlink" Target="https://github.com/orgs/Sistema-de-control-de-acceso/projects/8/views/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Z1004"/>
  <sheetViews>
    <sheetView showGridLines="0" tabSelected="1" topLeftCell="B1" workbookViewId="0">
      <selection activeCell="B61" sqref="B61:H70"/>
    </sheetView>
  </sheetViews>
  <sheetFormatPr baseColWidth="10" defaultColWidth="14.42578125" defaultRowHeight="15" customHeight="1"/>
  <cols>
    <col min="1" max="1" width="3.42578125" customWidth="1"/>
    <col min="2" max="2" width="20.7109375" customWidth="1"/>
    <col min="3" max="3" width="22.85546875" customWidth="1"/>
    <col min="4" max="4" width="47" customWidth="1"/>
    <col min="5" max="5" width="27.7109375" customWidth="1"/>
    <col min="6" max="6" width="26.140625" customWidth="1"/>
    <col min="7" max="7" width="24.140625" customWidth="1"/>
    <col min="8" max="8" width="42.7109375" customWidth="1"/>
    <col min="9" max="9" width="3.42578125" customWidth="1"/>
    <col min="10" max="26" width="8.85546875" customWidth="1"/>
  </cols>
  <sheetData>
    <row r="1" spans="1:26" ht="49.5" customHeight="1">
      <c r="B1" s="1" t="s">
        <v>0</v>
      </c>
    </row>
    <row r="2" spans="1:26" ht="20.25" customHeight="1">
      <c r="A2" s="2"/>
      <c r="B2" s="32" t="s">
        <v>1</v>
      </c>
      <c r="C2" s="33"/>
      <c r="D2" s="3" t="s">
        <v>2</v>
      </c>
      <c r="E2" s="32" t="s">
        <v>3</v>
      </c>
      <c r="F2" s="33"/>
      <c r="G2" s="32" t="s">
        <v>4</v>
      </c>
      <c r="H2" s="33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5.25" customHeight="1">
      <c r="A3" s="5"/>
      <c r="B3" s="34" t="s">
        <v>74</v>
      </c>
      <c r="C3" s="31"/>
      <c r="D3" s="6">
        <v>45956</v>
      </c>
      <c r="E3" s="34">
        <v>10</v>
      </c>
      <c r="F3" s="31"/>
      <c r="G3" s="34" t="s">
        <v>5</v>
      </c>
      <c r="H3" s="31"/>
      <c r="I3" s="7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5.25" customHeight="1">
      <c r="A4" s="5"/>
      <c r="B4" s="30" t="s">
        <v>6</v>
      </c>
      <c r="C4" s="31"/>
      <c r="D4" s="35" t="s">
        <v>7</v>
      </c>
      <c r="E4" s="36"/>
      <c r="F4" s="36"/>
      <c r="G4" s="36"/>
      <c r="H4" s="37"/>
      <c r="I4" s="7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5.25" customHeight="1">
      <c r="A5" s="5"/>
      <c r="B5" s="30" t="s">
        <v>8</v>
      </c>
      <c r="C5" s="31"/>
      <c r="D5" s="35" t="s">
        <v>9</v>
      </c>
      <c r="E5" s="36"/>
      <c r="F5" s="36"/>
      <c r="G5" s="36"/>
      <c r="H5" s="37"/>
      <c r="I5" s="7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7.25" customHeight="1">
      <c r="B6" s="9" t="s">
        <v>10</v>
      </c>
      <c r="C6" s="10">
        <f>D3+1</f>
        <v>45957</v>
      </c>
      <c r="D6" s="11"/>
      <c r="E6" s="11"/>
      <c r="F6" s="11"/>
      <c r="G6" s="11"/>
      <c r="H6" s="11"/>
    </row>
    <row r="7" spans="1:26" ht="27" customHeight="1"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2" t="s">
        <v>17</v>
      </c>
    </row>
    <row r="8" spans="1:26" ht="21.75" customHeight="1">
      <c r="B8" s="13">
        <v>1</v>
      </c>
      <c r="C8" s="14" t="s">
        <v>18</v>
      </c>
      <c r="D8" s="14" t="s">
        <v>75</v>
      </c>
      <c r="E8" s="13" t="s">
        <v>21</v>
      </c>
      <c r="F8" s="15"/>
      <c r="G8" s="13" t="s">
        <v>20</v>
      </c>
      <c r="H8" s="15"/>
    </row>
    <row r="9" spans="1:26" ht="21.75" customHeight="1">
      <c r="B9" s="13">
        <v>2</v>
      </c>
      <c r="C9" s="14" t="s">
        <v>18</v>
      </c>
      <c r="D9" s="14" t="s">
        <v>76</v>
      </c>
      <c r="E9" s="13" t="s">
        <v>21</v>
      </c>
      <c r="F9" s="15"/>
      <c r="G9" s="13" t="s">
        <v>20</v>
      </c>
      <c r="H9" s="15"/>
    </row>
    <row r="10" spans="1:26" ht="21.75" customHeight="1">
      <c r="B10" s="13">
        <v>3</v>
      </c>
      <c r="C10" s="14" t="s">
        <v>18</v>
      </c>
      <c r="D10" s="14" t="s">
        <v>77</v>
      </c>
      <c r="E10" s="13" t="s">
        <v>19</v>
      </c>
      <c r="F10" s="15"/>
      <c r="G10" s="13" t="s">
        <v>20</v>
      </c>
      <c r="H10" s="15"/>
    </row>
    <row r="11" spans="1:26" ht="21.75" customHeight="1">
      <c r="B11" s="13">
        <v>4</v>
      </c>
      <c r="C11" s="14" t="s">
        <v>22</v>
      </c>
      <c r="D11" s="14" t="s">
        <v>78</v>
      </c>
      <c r="E11" s="13" t="s">
        <v>21</v>
      </c>
      <c r="F11" s="15"/>
      <c r="G11" s="13" t="s">
        <v>20</v>
      </c>
      <c r="H11" s="15"/>
    </row>
    <row r="12" spans="1:26" ht="21.75" customHeight="1">
      <c r="B12" s="13">
        <v>5</v>
      </c>
      <c r="C12" s="14" t="s">
        <v>22</v>
      </c>
      <c r="D12" s="14" t="s">
        <v>79</v>
      </c>
      <c r="E12" s="13" t="s">
        <v>21</v>
      </c>
      <c r="F12" s="15"/>
      <c r="G12" s="13" t="s">
        <v>20</v>
      </c>
      <c r="H12" s="15"/>
    </row>
    <row r="13" spans="1:26" ht="21.75" customHeight="1">
      <c r="B13" s="13">
        <v>6</v>
      </c>
      <c r="C13" s="14" t="s">
        <v>22</v>
      </c>
      <c r="D13" s="14" t="s">
        <v>80</v>
      </c>
      <c r="E13" s="13" t="s">
        <v>19</v>
      </c>
      <c r="F13" s="15"/>
      <c r="G13" s="13" t="s">
        <v>20</v>
      </c>
      <c r="H13" s="15"/>
    </row>
    <row r="14" spans="1:26" ht="21.75" customHeight="1">
      <c r="B14" s="13">
        <v>7</v>
      </c>
      <c r="C14" s="14" t="s">
        <v>23</v>
      </c>
      <c r="D14" s="14" t="s">
        <v>81</v>
      </c>
      <c r="E14" s="13" t="s">
        <v>21</v>
      </c>
      <c r="F14" s="16" t="s">
        <v>24</v>
      </c>
      <c r="G14" s="17" t="s">
        <v>25</v>
      </c>
      <c r="H14" s="18" t="s">
        <v>26</v>
      </c>
    </row>
    <row r="15" spans="1:26" ht="21.75" customHeight="1">
      <c r="B15" s="13">
        <v>8</v>
      </c>
      <c r="C15" s="14" t="s">
        <v>23</v>
      </c>
      <c r="D15" s="14" t="s">
        <v>82</v>
      </c>
      <c r="E15" s="13" t="s">
        <v>19</v>
      </c>
      <c r="F15" s="16" t="s">
        <v>27</v>
      </c>
      <c r="G15" s="17" t="s">
        <v>28</v>
      </c>
      <c r="H15" s="15"/>
    </row>
    <row r="16" spans="1:26" ht="21.75" customHeight="1">
      <c r="B16" s="13">
        <v>9</v>
      </c>
      <c r="C16" s="14" t="s">
        <v>29</v>
      </c>
      <c r="D16" s="14" t="s">
        <v>83</v>
      </c>
      <c r="E16" s="13" t="s">
        <v>21</v>
      </c>
      <c r="F16" s="15"/>
      <c r="G16" s="17" t="s">
        <v>28</v>
      </c>
      <c r="H16" s="15"/>
    </row>
    <row r="17" spans="2:8" ht="21.75" customHeight="1">
      <c r="B17" s="13">
        <v>10</v>
      </c>
      <c r="C17" s="14" t="s">
        <v>29</v>
      </c>
      <c r="D17" s="14" t="s">
        <v>84</v>
      </c>
      <c r="E17" s="13" t="s">
        <v>21</v>
      </c>
      <c r="F17" s="15"/>
      <c r="G17" s="17" t="s">
        <v>28</v>
      </c>
      <c r="H17" s="15"/>
    </row>
    <row r="18" spans="2:8" ht="21.75" customHeight="1">
      <c r="B18" s="13">
        <v>11</v>
      </c>
      <c r="C18" s="14" t="s">
        <v>29</v>
      </c>
      <c r="D18" s="14" t="s">
        <v>85</v>
      </c>
      <c r="E18" s="13" t="s">
        <v>19</v>
      </c>
      <c r="F18" s="15"/>
      <c r="G18" s="13" t="s">
        <v>20</v>
      </c>
      <c r="H18" s="15"/>
    </row>
    <row r="19" spans="2:8" ht="47.25" customHeight="1">
      <c r="B19" s="9" t="s">
        <v>30</v>
      </c>
      <c r="C19" s="10">
        <f>D3+2</f>
        <v>45958</v>
      </c>
      <c r="D19" s="11"/>
      <c r="E19" s="11"/>
      <c r="F19" s="11"/>
      <c r="G19" s="11"/>
      <c r="H19" s="11"/>
    </row>
    <row r="20" spans="2:8" ht="27" customHeight="1">
      <c r="B20" s="12" t="s">
        <v>11</v>
      </c>
      <c r="C20" s="12" t="s">
        <v>12</v>
      </c>
      <c r="D20" s="12" t="s">
        <v>13</v>
      </c>
      <c r="E20" s="12" t="s">
        <v>14</v>
      </c>
      <c r="F20" s="12" t="s">
        <v>15</v>
      </c>
      <c r="G20" s="12" t="s">
        <v>16</v>
      </c>
      <c r="H20" s="41" t="s">
        <v>17</v>
      </c>
    </row>
    <row r="21" spans="2:8" ht="67.5">
      <c r="B21" s="17">
        <v>1</v>
      </c>
      <c r="C21" s="14" t="s">
        <v>18</v>
      </c>
      <c r="D21" s="14" t="s">
        <v>75</v>
      </c>
      <c r="E21" s="17" t="s">
        <v>21</v>
      </c>
      <c r="F21" s="27" t="s">
        <v>86</v>
      </c>
      <c r="G21" s="13" t="s">
        <v>20</v>
      </c>
      <c r="H21" s="27" t="s">
        <v>97</v>
      </c>
    </row>
    <row r="22" spans="2:8" ht="54">
      <c r="B22" s="17">
        <v>2</v>
      </c>
      <c r="C22" s="14" t="s">
        <v>18</v>
      </c>
      <c r="D22" s="14" t="s">
        <v>76</v>
      </c>
      <c r="E22" s="17" t="s">
        <v>21</v>
      </c>
      <c r="F22" s="27" t="s">
        <v>87</v>
      </c>
      <c r="G22" s="13" t="s">
        <v>20</v>
      </c>
      <c r="H22" s="27" t="s">
        <v>98</v>
      </c>
    </row>
    <row r="23" spans="2:8" ht="40.5">
      <c r="B23" s="17">
        <v>3</v>
      </c>
      <c r="C23" s="14" t="s">
        <v>18</v>
      </c>
      <c r="D23" s="14" t="s">
        <v>77</v>
      </c>
      <c r="E23" s="17" t="s">
        <v>19</v>
      </c>
      <c r="F23" s="27" t="s">
        <v>88</v>
      </c>
      <c r="G23" s="13" t="s">
        <v>20</v>
      </c>
      <c r="H23" s="27" t="s">
        <v>99</v>
      </c>
    </row>
    <row r="24" spans="2:8" ht="27">
      <c r="B24" s="17">
        <v>4</v>
      </c>
      <c r="C24" s="14" t="s">
        <v>22</v>
      </c>
      <c r="D24" s="14" t="s">
        <v>78</v>
      </c>
      <c r="E24" s="17" t="s">
        <v>21</v>
      </c>
      <c r="F24" s="27" t="s">
        <v>89</v>
      </c>
      <c r="G24" s="13" t="s">
        <v>20</v>
      </c>
      <c r="H24" s="27" t="s">
        <v>100</v>
      </c>
    </row>
    <row r="25" spans="2:8" ht="27">
      <c r="B25" s="17">
        <v>5</v>
      </c>
      <c r="C25" s="14" t="s">
        <v>22</v>
      </c>
      <c r="D25" s="14" t="s">
        <v>79</v>
      </c>
      <c r="E25" s="17" t="s">
        <v>21</v>
      </c>
      <c r="F25" s="27" t="s">
        <v>90</v>
      </c>
      <c r="G25" s="13" t="s">
        <v>20</v>
      </c>
      <c r="H25" s="40" t="s">
        <v>101</v>
      </c>
    </row>
    <row r="26" spans="2:8" ht="40.5">
      <c r="B26" s="17">
        <v>6</v>
      </c>
      <c r="C26" s="14" t="s">
        <v>22</v>
      </c>
      <c r="D26" s="14" t="s">
        <v>80</v>
      </c>
      <c r="E26" s="17" t="s">
        <v>19</v>
      </c>
      <c r="F26" s="27" t="s">
        <v>91</v>
      </c>
      <c r="G26" s="13" t="s">
        <v>20</v>
      </c>
      <c r="H26" s="40" t="s">
        <v>102</v>
      </c>
    </row>
    <row r="27" spans="2:8" ht="27">
      <c r="B27" s="17">
        <v>7</v>
      </c>
      <c r="C27" s="14" t="s">
        <v>23</v>
      </c>
      <c r="D27" s="14" t="s">
        <v>81</v>
      </c>
      <c r="E27" s="17" t="s">
        <v>21</v>
      </c>
      <c r="F27" s="27" t="s">
        <v>92</v>
      </c>
      <c r="G27" s="13" t="s">
        <v>20</v>
      </c>
      <c r="H27" s="40" t="s">
        <v>103</v>
      </c>
    </row>
    <row r="28" spans="2:8" ht="40.5">
      <c r="B28" s="17">
        <v>8</v>
      </c>
      <c r="C28" s="14" t="s">
        <v>23</v>
      </c>
      <c r="D28" s="14" t="s">
        <v>82</v>
      </c>
      <c r="E28" s="17" t="s">
        <v>19</v>
      </c>
      <c r="F28" s="27" t="s">
        <v>93</v>
      </c>
      <c r="G28" s="13" t="s">
        <v>20</v>
      </c>
      <c r="H28" s="40" t="s">
        <v>104</v>
      </c>
    </row>
    <row r="29" spans="2:8" ht="27">
      <c r="B29" s="17">
        <v>9</v>
      </c>
      <c r="C29" s="14" t="s">
        <v>29</v>
      </c>
      <c r="D29" s="14" t="s">
        <v>83</v>
      </c>
      <c r="E29" s="17" t="s">
        <v>21</v>
      </c>
      <c r="F29" s="27" t="s">
        <v>94</v>
      </c>
      <c r="G29" s="13" t="s">
        <v>20</v>
      </c>
      <c r="H29" s="40" t="s">
        <v>105</v>
      </c>
    </row>
    <row r="30" spans="2:8" ht="27">
      <c r="B30" s="17">
        <v>10</v>
      </c>
      <c r="C30" s="14" t="s">
        <v>29</v>
      </c>
      <c r="D30" s="14" t="s">
        <v>84</v>
      </c>
      <c r="E30" s="17" t="s">
        <v>21</v>
      </c>
      <c r="F30" s="27" t="s">
        <v>95</v>
      </c>
      <c r="G30" s="17" t="s">
        <v>20</v>
      </c>
      <c r="H30" s="40" t="s">
        <v>106</v>
      </c>
    </row>
    <row r="31" spans="2:8" ht="27">
      <c r="B31" s="17">
        <v>11</v>
      </c>
      <c r="C31" s="14" t="s">
        <v>29</v>
      </c>
      <c r="D31" s="14" t="s">
        <v>85</v>
      </c>
      <c r="E31" s="17" t="s">
        <v>19</v>
      </c>
      <c r="F31" s="27" t="s">
        <v>96</v>
      </c>
      <c r="G31" s="13" t="s">
        <v>20</v>
      </c>
      <c r="H31" s="40" t="s">
        <v>107</v>
      </c>
    </row>
    <row r="32" spans="2:8" ht="47.25" customHeight="1">
      <c r="B32" s="19" t="s">
        <v>31</v>
      </c>
      <c r="C32" s="10">
        <f>D3+3</f>
        <v>45959</v>
      </c>
      <c r="D32" s="11"/>
      <c r="E32" s="11"/>
      <c r="F32" s="11"/>
      <c r="G32" s="11"/>
      <c r="H32" s="11"/>
    </row>
    <row r="33" spans="2:8" ht="27" customHeight="1">
      <c r="B33" s="12" t="s">
        <v>11</v>
      </c>
      <c r="C33" s="12" t="s">
        <v>12</v>
      </c>
      <c r="D33" s="12" t="s">
        <v>13</v>
      </c>
      <c r="E33" s="12" t="s">
        <v>14</v>
      </c>
      <c r="F33" s="12" t="s">
        <v>15</v>
      </c>
      <c r="G33" s="12" t="s">
        <v>16</v>
      </c>
      <c r="H33" s="41" t="s">
        <v>17</v>
      </c>
    </row>
    <row r="34" spans="2:8" ht="67.5">
      <c r="B34" s="17">
        <v>1</v>
      </c>
      <c r="C34" s="14" t="s">
        <v>18</v>
      </c>
      <c r="D34" s="14" t="s">
        <v>75</v>
      </c>
      <c r="E34" s="17" t="s">
        <v>21</v>
      </c>
      <c r="F34" s="27" t="s">
        <v>86</v>
      </c>
      <c r="G34" s="17" t="s">
        <v>25</v>
      </c>
      <c r="H34" s="39" t="s">
        <v>109</v>
      </c>
    </row>
    <row r="35" spans="2:8" ht="54">
      <c r="B35" s="17">
        <v>2</v>
      </c>
      <c r="C35" s="14" t="s">
        <v>18</v>
      </c>
      <c r="D35" s="14" t="s">
        <v>76</v>
      </c>
      <c r="E35" s="17" t="s">
        <v>21</v>
      </c>
      <c r="F35" s="27" t="s">
        <v>87</v>
      </c>
      <c r="G35" s="17" t="s">
        <v>25</v>
      </c>
      <c r="H35" s="40" t="s">
        <v>110</v>
      </c>
    </row>
    <row r="36" spans="2:8" ht="40.5">
      <c r="B36" s="17">
        <v>3</v>
      </c>
      <c r="C36" s="14" t="s">
        <v>18</v>
      </c>
      <c r="D36" s="14" t="s">
        <v>77</v>
      </c>
      <c r="E36" s="17" t="s">
        <v>19</v>
      </c>
      <c r="F36" s="27" t="s">
        <v>88</v>
      </c>
      <c r="G36" s="17" t="s">
        <v>20</v>
      </c>
      <c r="H36" s="15"/>
    </row>
    <row r="37" spans="2:8" ht="27">
      <c r="B37" s="17">
        <v>4</v>
      </c>
      <c r="C37" s="14" t="s">
        <v>22</v>
      </c>
      <c r="D37" s="14" t="s">
        <v>78</v>
      </c>
      <c r="E37" s="17" t="s">
        <v>21</v>
      </c>
      <c r="F37" s="27" t="s">
        <v>89</v>
      </c>
      <c r="G37" s="17" t="s">
        <v>25</v>
      </c>
      <c r="H37" s="39" t="s">
        <v>111</v>
      </c>
    </row>
    <row r="38" spans="2:8" ht="27">
      <c r="B38" s="17">
        <v>5</v>
      </c>
      <c r="C38" s="14" t="s">
        <v>22</v>
      </c>
      <c r="D38" s="14" t="s">
        <v>79</v>
      </c>
      <c r="E38" s="17" t="s">
        <v>21</v>
      </c>
      <c r="F38" s="27" t="s">
        <v>90</v>
      </c>
      <c r="G38" s="17" t="s">
        <v>25</v>
      </c>
      <c r="H38" s="39" t="s">
        <v>112</v>
      </c>
    </row>
    <row r="39" spans="2:8" ht="40.5">
      <c r="B39" s="17">
        <v>6</v>
      </c>
      <c r="C39" s="14" t="s">
        <v>22</v>
      </c>
      <c r="D39" s="14" t="s">
        <v>80</v>
      </c>
      <c r="E39" s="17" t="s">
        <v>19</v>
      </c>
      <c r="F39" s="27" t="s">
        <v>91</v>
      </c>
      <c r="G39" s="17" t="s">
        <v>20</v>
      </c>
      <c r="H39" s="39" t="s">
        <v>113</v>
      </c>
    </row>
    <row r="40" spans="2:8" ht="27">
      <c r="B40" s="17">
        <v>7</v>
      </c>
      <c r="C40" s="14" t="s">
        <v>23</v>
      </c>
      <c r="D40" s="14" t="s">
        <v>81</v>
      </c>
      <c r="E40" s="17" t="s">
        <v>21</v>
      </c>
      <c r="F40" s="27" t="s">
        <v>92</v>
      </c>
      <c r="G40" s="17" t="s">
        <v>25</v>
      </c>
      <c r="H40" s="15"/>
    </row>
    <row r="41" spans="2:8" ht="40.5">
      <c r="B41" s="17">
        <v>8</v>
      </c>
      <c r="C41" s="14" t="s">
        <v>23</v>
      </c>
      <c r="D41" s="14" t="s">
        <v>82</v>
      </c>
      <c r="E41" s="17" t="s">
        <v>19</v>
      </c>
      <c r="F41" s="27" t="s">
        <v>93</v>
      </c>
      <c r="G41" s="17" t="s">
        <v>25</v>
      </c>
      <c r="H41" s="39" t="s">
        <v>114</v>
      </c>
    </row>
    <row r="42" spans="2:8" ht="27">
      <c r="B42" s="17">
        <v>9</v>
      </c>
      <c r="C42" s="14" t="s">
        <v>29</v>
      </c>
      <c r="D42" s="14" t="s">
        <v>83</v>
      </c>
      <c r="E42" s="17" t="s">
        <v>21</v>
      </c>
      <c r="F42" s="27" t="s">
        <v>94</v>
      </c>
      <c r="G42" s="17" t="s">
        <v>25</v>
      </c>
      <c r="H42" s="15"/>
    </row>
    <row r="43" spans="2:8" ht="27">
      <c r="B43" s="17">
        <v>10</v>
      </c>
      <c r="C43" s="14" t="s">
        <v>29</v>
      </c>
      <c r="D43" s="14" t="s">
        <v>84</v>
      </c>
      <c r="E43" s="17" t="s">
        <v>21</v>
      </c>
      <c r="F43" s="27" t="s">
        <v>95</v>
      </c>
      <c r="G43" s="17" t="s">
        <v>25</v>
      </c>
      <c r="H43" s="39" t="s">
        <v>115</v>
      </c>
    </row>
    <row r="44" spans="2:8" ht="27">
      <c r="B44" s="17">
        <v>11</v>
      </c>
      <c r="C44" s="14" t="s">
        <v>29</v>
      </c>
      <c r="D44" s="14" t="s">
        <v>85</v>
      </c>
      <c r="E44" s="17" t="s">
        <v>19</v>
      </c>
      <c r="F44" s="27" t="s">
        <v>96</v>
      </c>
      <c r="G44" s="17" t="s">
        <v>20</v>
      </c>
      <c r="H44" s="39" t="s">
        <v>116</v>
      </c>
    </row>
    <row r="45" spans="2:8" ht="47.25" customHeight="1">
      <c r="B45" s="9" t="s">
        <v>32</v>
      </c>
      <c r="C45" s="10">
        <f>D3+4</f>
        <v>45960</v>
      </c>
      <c r="D45" s="11"/>
      <c r="E45" s="11"/>
      <c r="F45" s="11"/>
      <c r="G45" s="11"/>
      <c r="H45" s="11"/>
    </row>
    <row r="46" spans="2:8" ht="27" customHeight="1">
      <c r="B46" s="12" t="s">
        <v>11</v>
      </c>
      <c r="C46" s="12" t="s">
        <v>12</v>
      </c>
      <c r="D46" s="12" t="s">
        <v>13</v>
      </c>
      <c r="E46" s="12" t="s">
        <v>14</v>
      </c>
      <c r="F46" s="12" t="s">
        <v>15</v>
      </c>
      <c r="G46" s="12" t="s">
        <v>16</v>
      </c>
      <c r="H46" s="12" t="s">
        <v>17</v>
      </c>
    </row>
    <row r="47" spans="2:8" ht="21.75" customHeight="1" thickBot="1">
      <c r="B47" s="13">
        <v>1</v>
      </c>
      <c r="C47" s="14"/>
      <c r="D47" s="14"/>
      <c r="E47" s="13"/>
      <c r="F47" s="15"/>
      <c r="G47" s="13"/>
      <c r="H47" s="15"/>
    </row>
    <row r="48" spans="2:8">
      <c r="B48" s="42" t="s">
        <v>108</v>
      </c>
      <c r="C48" s="42"/>
      <c r="D48" s="42"/>
      <c r="E48" s="42"/>
      <c r="F48" s="42"/>
      <c r="G48" s="42"/>
      <c r="H48" s="42"/>
    </row>
    <row r="49" spans="2:8" ht="21.75" customHeight="1">
      <c r="B49" s="43"/>
      <c r="C49" s="43"/>
      <c r="D49" s="43"/>
      <c r="E49" s="43"/>
      <c r="F49" s="43"/>
      <c r="G49" s="43"/>
      <c r="H49" s="43"/>
    </row>
    <row r="50" spans="2:8" ht="21.75" customHeight="1">
      <c r="B50" s="43"/>
      <c r="C50" s="43"/>
      <c r="D50" s="43"/>
      <c r="E50" s="43"/>
      <c r="F50" s="43"/>
      <c r="G50" s="43"/>
      <c r="H50" s="43"/>
    </row>
    <row r="51" spans="2:8" ht="21.75" customHeight="1">
      <c r="B51" s="43"/>
      <c r="C51" s="43"/>
      <c r="D51" s="43"/>
      <c r="E51" s="43"/>
      <c r="F51" s="43"/>
      <c r="G51" s="43"/>
      <c r="H51" s="43"/>
    </row>
    <row r="52" spans="2:8" ht="21.75" customHeight="1">
      <c r="B52" s="43"/>
      <c r="C52" s="43"/>
      <c r="D52" s="43"/>
      <c r="E52" s="43"/>
      <c r="F52" s="43"/>
      <c r="G52" s="43"/>
      <c r="H52" s="43"/>
    </row>
    <row r="53" spans="2:8" ht="21.75" customHeight="1">
      <c r="B53" s="43"/>
      <c r="C53" s="43"/>
      <c r="D53" s="43"/>
      <c r="E53" s="43"/>
      <c r="F53" s="43"/>
      <c r="G53" s="43"/>
      <c r="H53" s="43"/>
    </row>
    <row r="54" spans="2:8" ht="21.75" customHeight="1">
      <c r="B54" s="43"/>
      <c r="C54" s="43"/>
      <c r="D54" s="43"/>
      <c r="E54" s="43"/>
      <c r="F54" s="43"/>
      <c r="G54" s="43"/>
      <c r="H54" s="43"/>
    </row>
    <row r="55" spans="2:8" ht="21.75" customHeight="1">
      <c r="B55" s="43"/>
      <c r="C55" s="43"/>
      <c r="D55" s="43"/>
      <c r="E55" s="43"/>
      <c r="F55" s="43"/>
      <c r="G55" s="43"/>
      <c r="H55" s="43"/>
    </row>
    <row r="56" spans="2:8" ht="21.75" customHeight="1">
      <c r="B56" s="43"/>
      <c r="C56" s="43"/>
      <c r="D56" s="43"/>
      <c r="E56" s="43"/>
      <c r="F56" s="43"/>
      <c r="G56" s="43"/>
      <c r="H56" s="43"/>
    </row>
    <row r="57" spans="2:8" ht="21.75" customHeight="1">
      <c r="B57" s="44"/>
      <c r="C57" s="44"/>
      <c r="D57" s="44"/>
      <c r="E57" s="44"/>
      <c r="F57" s="44"/>
      <c r="G57" s="44"/>
      <c r="H57" s="44"/>
    </row>
    <row r="58" spans="2:8" ht="47.25" customHeight="1">
      <c r="B58" s="9" t="s">
        <v>33</v>
      </c>
      <c r="C58" s="10">
        <f>D3+5</f>
        <v>45961</v>
      </c>
      <c r="D58" s="11"/>
      <c r="E58" s="11"/>
      <c r="F58" s="11"/>
      <c r="G58" s="11"/>
      <c r="H58" s="11"/>
    </row>
    <row r="59" spans="2:8" ht="27" customHeight="1">
      <c r="B59" s="12" t="s">
        <v>11</v>
      </c>
      <c r="C59" s="12" t="s">
        <v>12</v>
      </c>
      <c r="D59" s="12" t="s">
        <v>13</v>
      </c>
      <c r="E59" s="12" t="s">
        <v>14</v>
      </c>
      <c r="F59" s="12" t="s">
        <v>15</v>
      </c>
      <c r="G59" s="12" t="s">
        <v>16</v>
      </c>
      <c r="H59" s="12" t="s">
        <v>17</v>
      </c>
    </row>
    <row r="60" spans="2:8" ht="21.75" customHeight="1" thickBot="1">
      <c r="B60" s="17">
        <v>1</v>
      </c>
      <c r="C60" s="14"/>
      <c r="D60" s="14"/>
      <c r="E60" s="17"/>
      <c r="F60" s="15"/>
      <c r="G60" s="17"/>
      <c r="H60" s="15"/>
    </row>
    <row r="61" spans="2:8" ht="15.75" customHeight="1" thickTop="1">
      <c r="B61" s="45" t="s">
        <v>117</v>
      </c>
      <c r="C61" s="45"/>
      <c r="D61" s="45"/>
      <c r="E61" s="45"/>
      <c r="F61" s="45"/>
      <c r="G61" s="45"/>
      <c r="H61" s="45"/>
    </row>
    <row r="62" spans="2:8" ht="21.75" customHeight="1">
      <c r="B62" s="46"/>
      <c r="C62" s="46"/>
      <c r="D62" s="46"/>
      <c r="E62" s="46"/>
      <c r="F62" s="46"/>
      <c r="G62" s="46"/>
      <c r="H62" s="46"/>
    </row>
    <row r="63" spans="2:8" ht="21.75" customHeight="1">
      <c r="B63" s="46"/>
      <c r="C63" s="46"/>
      <c r="D63" s="46"/>
      <c r="E63" s="46"/>
      <c r="F63" s="46"/>
      <c r="G63" s="46"/>
      <c r="H63" s="46"/>
    </row>
    <row r="64" spans="2:8" ht="21.75" customHeight="1">
      <c r="B64" s="46"/>
      <c r="C64" s="46"/>
      <c r="D64" s="46"/>
      <c r="E64" s="46"/>
      <c r="F64" s="46"/>
      <c r="G64" s="46"/>
      <c r="H64" s="46"/>
    </row>
    <row r="65" spans="2:8" ht="21.75" customHeight="1">
      <c r="B65" s="46"/>
      <c r="C65" s="46"/>
      <c r="D65" s="46"/>
      <c r="E65" s="46"/>
      <c r="F65" s="46"/>
      <c r="G65" s="46"/>
      <c r="H65" s="46"/>
    </row>
    <row r="66" spans="2:8" ht="21.75" customHeight="1">
      <c r="B66" s="46"/>
      <c r="C66" s="46"/>
      <c r="D66" s="46"/>
      <c r="E66" s="46"/>
      <c r="F66" s="46"/>
      <c r="G66" s="46"/>
      <c r="H66" s="46"/>
    </row>
    <row r="67" spans="2:8" ht="21.75" customHeight="1">
      <c r="B67" s="46"/>
      <c r="C67" s="46"/>
      <c r="D67" s="46"/>
      <c r="E67" s="46"/>
      <c r="F67" s="46"/>
      <c r="G67" s="46"/>
      <c r="H67" s="46"/>
    </row>
    <row r="68" spans="2:8" ht="21.75" customHeight="1">
      <c r="B68" s="46"/>
      <c r="C68" s="46"/>
      <c r="D68" s="46"/>
      <c r="E68" s="46"/>
      <c r="F68" s="46"/>
      <c r="G68" s="46"/>
      <c r="H68" s="46"/>
    </row>
    <row r="69" spans="2:8" ht="21.75" customHeight="1">
      <c r="B69" s="46"/>
      <c r="C69" s="46"/>
      <c r="D69" s="46"/>
      <c r="E69" s="46"/>
      <c r="F69" s="46"/>
      <c r="G69" s="46"/>
      <c r="H69" s="46"/>
    </row>
    <row r="70" spans="2:8" ht="21.75" customHeight="1">
      <c r="B70" s="47"/>
      <c r="C70" s="47"/>
      <c r="D70" s="47"/>
      <c r="E70" s="47"/>
      <c r="F70" s="47"/>
      <c r="G70" s="47"/>
      <c r="H70" s="47"/>
    </row>
    <row r="71" spans="2:8" ht="15" customHeight="1">
      <c r="B71" s="20"/>
      <c r="C71" s="21"/>
      <c r="D71" s="21"/>
      <c r="E71" s="20"/>
      <c r="F71" s="22"/>
      <c r="G71" s="20"/>
      <c r="H71" s="22"/>
    </row>
    <row r="72" spans="2:8" ht="15.75" customHeight="1"/>
    <row r="73" spans="2:8" ht="15.75" customHeight="1"/>
    <row r="74" spans="2:8" ht="15.75" customHeight="1"/>
    <row r="75" spans="2:8" ht="15.75" customHeight="1"/>
    <row r="76" spans="2:8" ht="15.75" customHeight="1"/>
    <row r="77" spans="2:8" ht="15.75" customHeight="1"/>
    <row r="78" spans="2:8" ht="15.75" customHeight="1"/>
    <row r="79" spans="2:8" ht="15.75" customHeight="1"/>
    <row r="80" spans="2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B48:H57"/>
    <mergeCell ref="B61:H70"/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8 B47 B60 B71">
    <cfRule type="containsText" dxfId="67" priority="22" operator="containsText" text="Update">
      <formula>NOT(ISERROR(SEARCH(("Update"),(B8))))</formula>
    </cfRule>
  </conditionalFormatting>
  <conditionalFormatting sqref="B8:B18 B47 B60 B71">
    <cfRule type="containsText" dxfId="66" priority="23" operator="containsText" text="Task">
      <formula>NOT(ISERROR(SEARCH(("Task"),(B8))))</formula>
    </cfRule>
  </conditionalFormatting>
  <conditionalFormatting sqref="B8:B18 B47 B60 B71">
    <cfRule type="containsText" dxfId="65" priority="24" operator="containsText" text="Content">
      <formula>NOT(ISERROR(SEARCH(("Content"),(B8))))</formula>
    </cfRule>
  </conditionalFormatting>
  <conditionalFormatting sqref="B8:B18 B47 B60 B71">
    <cfRule type="containsText" dxfId="64" priority="25" operator="containsText" text="Feature">
      <formula>NOT(ISERROR(SEARCH(("Feature"),(B8))))</formula>
    </cfRule>
  </conditionalFormatting>
  <conditionalFormatting sqref="B8:B18 B47 B60 B71">
    <cfRule type="containsText" dxfId="63" priority="26" operator="containsText" text="Research">
      <formula>NOT(ISERROR(SEARCH(("Research"),(B8))))</formula>
    </cfRule>
  </conditionalFormatting>
  <conditionalFormatting sqref="E8:E18 E47 E60 E71">
    <cfRule type="containsText" dxfId="62" priority="27" operator="containsText" text="Low">
      <formula>NOT(ISERROR(SEARCH(("Low"),(E8))))</formula>
    </cfRule>
  </conditionalFormatting>
  <conditionalFormatting sqref="E8:E18 E47 E60 E71">
    <cfRule type="containsText" dxfId="61" priority="28" operator="containsText" text="Medium">
      <formula>NOT(ISERROR(SEARCH(("Medium"),(E8))))</formula>
    </cfRule>
  </conditionalFormatting>
  <conditionalFormatting sqref="E8:E18 E47 E60 E71">
    <cfRule type="containsText" dxfId="60" priority="29" operator="containsText" text="High">
      <formula>NOT(ISERROR(SEARCH(("High"),(E8))))</formula>
    </cfRule>
  </conditionalFormatting>
  <conditionalFormatting sqref="G8:G18 G21:G31 G47 G60 G71">
    <cfRule type="containsText" dxfId="59" priority="30" operator="containsText" text="Testing">
      <formula>NOT(ISERROR(SEARCH(("Testing"),(G8))))</formula>
    </cfRule>
  </conditionalFormatting>
  <conditionalFormatting sqref="G8:G18 G21:G31 G47 G60 G71">
    <cfRule type="containsText" dxfId="58" priority="31" operator="containsText" text="On Hold">
      <formula>NOT(ISERROR(SEARCH(("On Hold"),(G8))))</formula>
    </cfRule>
  </conditionalFormatting>
  <conditionalFormatting sqref="G8:G18 G21:G31 G47 G60 G71">
    <cfRule type="containsText" dxfId="57" priority="32" operator="containsText" text="Complete">
      <formula>NOT(ISERROR(SEARCH(("Complete"),(G8))))</formula>
    </cfRule>
  </conditionalFormatting>
  <conditionalFormatting sqref="G8:G18 G21:G31 G47 G60 G71">
    <cfRule type="containsText" dxfId="56" priority="33" operator="containsText" text="Ready to Start">
      <formula>NOT(ISERROR(SEARCH(("Ready to Start"),(G8))))</formula>
    </cfRule>
  </conditionalFormatting>
  <conditionalFormatting sqref="G8:G18 G21:G31 G47 G60 G71">
    <cfRule type="containsText" dxfId="55" priority="34" operator="containsText" text="In Progress">
      <formula>NOT(ISERROR(SEARCH(("In Progress"),(G8))))</formula>
    </cfRule>
  </conditionalFormatting>
  <conditionalFormatting sqref="B21:B31">
    <cfRule type="containsText" dxfId="20" priority="14" operator="containsText" text="Update">
      <formula>NOT(ISERROR(SEARCH(("Update"),(B21))))</formula>
    </cfRule>
  </conditionalFormatting>
  <conditionalFormatting sqref="B21:B31">
    <cfRule type="containsText" dxfId="19" priority="15" operator="containsText" text="Task">
      <formula>NOT(ISERROR(SEARCH(("Task"),(B21))))</formula>
    </cfRule>
  </conditionalFormatting>
  <conditionalFormatting sqref="B21:B31">
    <cfRule type="containsText" dxfId="18" priority="16" operator="containsText" text="Content">
      <formula>NOT(ISERROR(SEARCH(("Content"),(B21))))</formula>
    </cfRule>
  </conditionalFormatting>
  <conditionalFormatting sqref="B21:B31">
    <cfRule type="containsText" dxfId="17" priority="17" operator="containsText" text="Feature">
      <formula>NOT(ISERROR(SEARCH(("Feature"),(B21))))</formula>
    </cfRule>
  </conditionalFormatting>
  <conditionalFormatting sqref="B21:B31">
    <cfRule type="containsText" dxfId="16" priority="18" operator="containsText" text="Research">
      <formula>NOT(ISERROR(SEARCH(("Research"),(B21))))</formula>
    </cfRule>
  </conditionalFormatting>
  <conditionalFormatting sqref="E21:E31">
    <cfRule type="containsText" dxfId="15" priority="19" operator="containsText" text="Low">
      <formula>NOT(ISERROR(SEARCH(("Low"),(E21))))</formula>
    </cfRule>
  </conditionalFormatting>
  <conditionalFormatting sqref="E21:E31">
    <cfRule type="containsText" dxfId="14" priority="20" operator="containsText" text="Medium">
      <formula>NOT(ISERROR(SEARCH(("Medium"),(E21))))</formula>
    </cfRule>
  </conditionalFormatting>
  <conditionalFormatting sqref="E21:E31">
    <cfRule type="containsText" dxfId="13" priority="21" operator="containsText" text="High">
      <formula>NOT(ISERROR(SEARCH(("High"),(E21))))</formula>
    </cfRule>
  </conditionalFormatting>
  <conditionalFormatting sqref="B34:B44">
    <cfRule type="containsText" dxfId="12" priority="6" operator="containsText" text="Update">
      <formula>NOT(ISERROR(SEARCH(("Update"),(B34))))</formula>
    </cfRule>
  </conditionalFormatting>
  <conditionalFormatting sqref="B34:B44">
    <cfRule type="containsText" dxfId="11" priority="7" operator="containsText" text="Task">
      <formula>NOT(ISERROR(SEARCH(("Task"),(B34))))</formula>
    </cfRule>
  </conditionalFormatting>
  <conditionalFormatting sqref="B34:B44">
    <cfRule type="containsText" dxfId="10" priority="8" operator="containsText" text="Content">
      <formula>NOT(ISERROR(SEARCH(("Content"),(B34))))</formula>
    </cfRule>
  </conditionalFormatting>
  <conditionalFormatting sqref="B34:B44">
    <cfRule type="containsText" dxfId="9" priority="9" operator="containsText" text="Feature">
      <formula>NOT(ISERROR(SEARCH(("Feature"),(B34))))</formula>
    </cfRule>
  </conditionalFormatting>
  <conditionalFormatting sqref="B34:B44">
    <cfRule type="containsText" dxfId="8" priority="10" operator="containsText" text="Research">
      <formula>NOT(ISERROR(SEARCH(("Research"),(B34))))</formula>
    </cfRule>
  </conditionalFormatting>
  <conditionalFormatting sqref="E34:E44">
    <cfRule type="containsText" dxfId="7" priority="11" operator="containsText" text="Low">
      <formula>NOT(ISERROR(SEARCH(("Low"),(E34))))</formula>
    </cfRule>
  </conditionalFormatting>
  <conditionalFormatting sqref="E34:E44">
    <cfRule type="containsText" dxfId="6" priority="12" operator="containsText" text="Medium">
      <formula>NOT(ISERROR(SEARCH(("Medium"),(E34))))</formula>
    </cfRule>
  </conditionalFormatting>
  <conditionalFormatting sqref="E34:E44">
    <cfRule type="containsText" dxfId="5" priority="13" operator="containsText" text="High">
      <formula>NOT(ISERROR(SEARCH(("High"),(E34))))</formula>
    </cfRule>
  </conditionalFormatting>
  <conditionalFormatting sqref="G34:G44">
    <cfRule type="containsText" dxfId="4" priority="1" operator="containsText" text="Testing">
      <formula>NOT(ISERROR(SEARCH(("Testing"),(G34))))</formula>
    </cfRule>
  </conditionalFormatting>
  <conditionalFormatting sqref="G34:G44">
    <cfRule type="containsText" dxfId="3" priority="2" operator="containsText" text="On Hold">
      <formula>NOT(ISERROR(SEARCH(("On Hold"),(G34))))</formula>
    </cfRule>
  </conditionalFormatting>
  <conditionalFormatting sqref="G34:G44">
    <cfRule type="containsText" dxfId="2" priority="3" operator="containsText" text="Complete">
      <formula>NOT(ISERROR(SEARCH(("Complete"),(G34))))</formula>
    </cfRule>
  </conditionalFormatting>
  <conditionalFormatting sqref="G34:G44">
    <cfRule type="containsText" dxfId="1" priority="4" operator="containsText" text="Ready to Start">
      <formula>NOT(ISERROR(SEARCH(("Ready to Start"),(G34))))</formula>
    </cfRule>
  </conditionalFormatting>
  <conditionalFormatting sqref="G34:G44">
    <cfRule type="containsText" dxfId="0" priority="5" operator="containsText" text="In Progress">
      <formula>NOT(ISERROR(SEARCH(("In Progress"),(G34))))</formula>
    </cfRule>
  </conditionalFormatting>
  <hyperlinks>
    <hyperlink ref="D4" r:id="rId1" xr:uid="{00000000-0004-0000-0000-000000000000}"/>
    <hyperlink ref="D5" r:id="rId2" xr:uid="{00000000-0004-0000-0000-000001000000}"/>
  </hyperlinks>
  <pageMargins left="0.7" right="0.7" top="0.75" bottom="0.75" header="0" footer="0"/>
  <pageSetup paperSize="3" fitToHeight="0" orientation="portrait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'Dropdown Keys - DO NOT DELETE'!$F$4:$F$9</xm:f>
          </x14:formula1>
          <xm:sqref>G8:G18 G21:G31 G71 G47 G60 G34:G44</xm:sqref>
        </x14:dataValidation>
        <x14:dataValidation type="list" allowBlank="1" showErrorMessage="1" xr:uid="{00000000-0002-0000-0000-000001000000}">
          <x14:formula1>
            <xm:f>'Dropdown Keys - DO NOT DELETE'!$D$4:$D$7</xm:f>
          </x14:formula1>
          <xm:sqref>E8:E18 E47 E21:E31 E34:E44 E60 E71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DB9CA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3.42578125" customWidth="1"/>
    <col min="2" max="2" width="15.7109375" customWidth="1"/>
    <col min="3" max="3" width="22.85546875" customWidth="1"/>
    <col min="4" max="4" width="47" customWidth="1"/>
    <col min="5" max="5" width="27.7109375" customWidth="1"/>
    <col min="6" max="6" width="26.140625" customWidth="1"/>
    <col min="7" max="7" width="24.140625" customWidth="1"/>
    <col min="8" max="8" width="42.7109375" customWidth="1"/>
    <col min="9" max="9" width="3.42578125" customWidth="1"/>
    <col min="10" max="26" width="8.85546875" customWidth="1"/>
  </cols>
  <sheetData>
    <row r="1" spans="1:26" ht="49.5" customHeight="1">
      <c r="B1" s="1" t="s">
        <v>0</v>
      </c>
    </row>
    <row r="2" spans="1:26" ht="20.25" customHeight="1">
      <c r="A2" s="2"/>
      <c r="B2" s="32" t="s">
        <v>1</v>
      </c>
      <c r="C2" s="33"/>
      <c r="D2" s="3" t="s">
        <v>34</v>
      </c>
      <c r="E2" s="32" t="s">
        <v>3</v>
      </c>
      <c r="F2" s="33"/>
      <c r="G2" s="32" t="s">
        <v>4</v>
      </c>
      <c r="H2" s="33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5.25" customHeight="1">
      <c r="A3" s="5"/>
      <c r="B3" s="34" t="s">
        <v>35</v>
      </c>
      <c r="C3" s="31"/>
      <c r="D3" s="6">
        <v>45551</v>
      </c>
      <c r="E3" s="34">
        <v>1</v>
      </c>
      <c r="F3" s="31"/>
      <c r="G3" s="34" t="s">
        <v>5</v>
      </c>
      <c r="H3" s="31"/>
      <c r="I3" s="7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" customHeight="1">
      <c r="A4" s="5"/>
      <c r="B4" s="30" t="s">
        <v>6</v>
      </c>
      <c r="C4" s="31"/>
      <c r="D4" s="35" t="s">
        <v>36</v>
      </c>
      <c r="E4" s="36"/>
      <c r="F4" s="36"/>
      <c r="G4" s="36"/>
      <c r="H4" s="37"/>
      <c r="I4" s="7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>
      <c r="A5" s="5"/>
      <c r="B5" s="30" t="s">
        <v>8</v>
      </c>
      <c r="C5" s="31"/>
      <c r="D5" s="35" t="s">
        <v>36</v>
      </c>
      <c r="E5" s="36"/>
      <c r="F5" s="36"/>
      <c r="G5" s="36"/>
      <c r="H5" s="37"/>
      <c r="I5" s="7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7.25" customHeight="1">
      <c r="B6" s="9" t="s">
        <v>10</v>
      </c>
      <c r="C6" s="10">
        <f>D3+1</f>
        <v>45552</v>
      </c>
      <c r="D6" s="11"/>
      <c r="E6" s="11"/>
      <c r="F6" s="11"/>
      <c r="G6" s="11"/>
      <c r="H6" s="11"/>
    </row>
    <row r="7" spans="1:26" ht="27" customHeight="1"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2" t="s">
        <v>17</v>
      </c>
    </row>
    <row r="8" spans="1:26" ht="21.75" customHeight="1">
      <c r="B8" s="13">
        <v>1</v>
      </c>
      <c r="C8" s="14" t="s">
        <v>37</v>
      </c>
      <c r="D8" s="14" t="s">
        <v>38</v>
      </c>
      <c r="E8" s="13" t="s">
        <v>21</v>
      </c>
      <c r="F8" s="15" t="s">
        <v>39</v>
      </c>
      <c r="G8" s="13" t="s">
        <v>20</v>
      </c>
      <c r="H8" s="15" t="s">
        <v>40</v>
      </c>
    </row>
    <row r="9" spans="1:26" ht="21.75" customHeight="1">
      <c r="B9" s="13">
        <v>2</v>
      </c>
      <c r="C9" s="14" t="s">
        <v>41</v>
      </c>
      <c r="D9" s="14" t="s">
        <v>42</v>
      </c>
      <c r="E9" s="13" t="s">
        <v>19</v>
      </c>
      <c r="F9" s="15" t="s">
        <v>43</v>
      </c>
      <c r="G9" s="13" t="s">
        <v>44</v>
      </c>
      <c r="H9" s="15"/>
    </row>
    <row r="10" spans="1:26" ht="21.75" customHeight="1">
      <c r="B10" s="13">
        <v>3</v>
      </c>
      <c r="C10" s="14" t="s">
        <v>45</v>
      </c>
      <c r="D10" s="14" t="s">
        <v>46</v>
      </c>
      <c r="E10" s="13" t="s">
        <v>47</v>
      </c>
      <c r="F10" s="15" t="s">
        <v>48</v>
      </c>
      <c r="G10" s="13" t="s">
        <v>20</v>
      </c>
      <c r="H10" s="15" t="s">
        <v>49</v>
      </c>
    </row>
    <row r="11" spans="1:26" ht="21.75" customHeight="1">
      <c r="B11" s="13">
        <v>4</v>
      </c>
      <c r="C11" s="14" t="s">
        <v>50</v>
      </c>
      <c r="D11" s="14" t="s">
        <v>51</v>
      </c>
      <c r="E11" s="13" t="s">
        <v>19</v>
      </c>
      <c r="F11" s="15" t="s">
        <v>52</v>
      </c>
      <c r="G11" s="13" t="s">
        <v>28</v>
      </c>
      <c r="H11" s="15"/>
    </row>
    <row r="12" spans="1:26" ht="21.75" customHeight="1">
      <c r="B12" s="13">
        <v>5</v>
      </c>
      <c r="C12" s="14" t="s">
        <v>53</v>
      </c>
      <c r="D12" s="14" t="s">
        <v>54</v>
      </c>
      <c r="E12" s="13" t="s">
        <v>19</v>
      </c>
      <c r="F12" s="15" t="s">
        <v>48</v>
      </c>
      <c r="G12" s="13" t="s">
        <v>20</v>
      </c>
      <c r="H12" s="15"/>
    </row>
    <row r="13" spans="1:26" ht="21.75" customHeight="1">
      <c r="B13" s="13">
        <v>6</v>
      </c>
      <c r="C13" s="14" t="s">
        <v>55</v>
      </c>
      <c r="D13" s="14" t="s">
        <v>56</v>
      </c>
      <c r="E13" s="13" t="s">
        <v>21</v>
      </c>
      <c r="F13" s="15" t="s">
        <v>57</v>
      </c>
      <c r="G13" s="13" t="s">
        <v>28</v>
      </c>
      <c r="H13" s="15"/>
    </row>
    <row r="14" spans="1:26" ht="21.75" customHeight="1">
      <c r="B14" s="13">
        <v>7</v>
      </c>
      <c r="C14" s="14" t="s">
        <v>55</v>
      </c>
      <c r="D14" s="14" t="s">
        <v>58</v>
      </c>
      <c r="E14" s="13" t="s">
        <v>19</v>
      </c>
      <c r="F14" s="15" t="s">
        <v>59</v>
      </c>
      <c r="G14" s="13" t="s">
        <v>60</v>
      </c>
      <c r="H14" s="15"/>
    </row>
    <row r="15" spans="1:26" ht="21.75" customHeight="1">
      <c r="B15" s="13">
        <v>8</v>
      </c>
      <c r="C15" s="14" t="s">
        <v>53</v>
      </c>
      <c r="D15" s="14" t="s">
        <v>61</v>
      </c>
      <c r="E15" s="13" t="s">
        <v>19</v>
      </c>
      <c r="F15" s="15" t="s">
        <v>48</v>
      </c>
      <c r="G15" s="13" t="s">
        <v>20</v>
      </c>
      <c r="H15" s="15"/>
    </row>
    <row r="16" spans="1:26" ht="21.75" customHeight="1">
      <c r="B16" s="13">
        <v>9</v>
      </c>
      <c r="C16" s="14" t="s">
        <v>53</v>
      </c>
      <c r="D16" s="14" t="s">
        <v>62</v>
      </c>
      <c r="E16" s="13" t="s">
        <v>21</v>
      </c>
      <c r="F16" s="15" t="s">
        <v>52</v>
      </c>
      <c r="G16" s="13" t="s">
        <v>28</v>
      </c>
      <c r="H16" s="15"/>
    </row>
    <row r="17" spans="2:8" ht="21.75" customHeight="1">
      <c r="B17" s="13">
        <v>10</v>
      </c>
      <c r="C17" s="14"/>
      <c r="D17" s="14"/>
      <c r="E17" s="13" t="s">
        <v>21</v>
      </c>
      <c r="F17" s="15"/>
      <c r="G17" s="13" t="s">
        <v>25</v>
      </c>
      <c r="H17" s="15"/>
    </row>
    <row r="18" spans="2:8" ht="47.25" customHeight="1">
      <c r="B18" s="9" t="s">
        <v>30</v>
      </c>
      <c r="C18" s="10">
        <f>D3+2</f>
        <v>45553</v>
      </c>
      <c r="D18" s="11"/>
      <c r="E18" s="11"/>
      <c r="F18" s="11"/>
      <c r="G18" s="11"/>
      <c r="H18" s="11"/>
    </row>
    <row r="19" spans="2:8" ht="27" customHeight="1">
      <c r="B19" s="12" t="s">
        <v>11</v>
      </c>
      <c r="C19" s="12" t="s">
        <v>12</v>
      </c>
      <c r="D19" s="12" t="s">
        <v>13</v>
      </c>
      <c r="E19" s="12" t="s">
        <v>14</v>
      </c>
      <c r="F19" s="12" t="s">
        <v>15</v>
      </c>
      <c r="G19" s="12" t="s">
        <v>16</v>
      </c>
      <c r="H19" s="12" t="s">
        <v>17</v>
      </c>
    </row>
    <row r="20" spans="2:8" ht="21.75" customHeight="1">
      <c r="B20" s="13">
        <v>1</v>
      </c>
      <c r="C20" s="14" t="s">
        <v>37</v>
      </c>
      <c r="D20" s="14" t="s">
        <v>38</v>
      </c>
      <c r="E20" s="13" t="s">
        <v>21</v>
      </c>
      <c r="F20" s="15" t="s">
        <v>63</v>
      </c>
      <c r="G20" s="13" t="s">
        <v>25</v>
      </c>
      <c r="H20" s="15" t="s">
        <v>64</v>
      </c>
    </row>
    <row r="21" spans="2:8" ht="21.75" customHeight="1">
      <c r="B21" s="13">
        <v>2</v>
      </c>
      <c r="C21" s="14" t="s">
        <v>41</v>
      </c>
      <c r="D21" s="14" t="s">
        <v>42</v>
      </c>
      <c r="E21" s="13" t="s">
        <v>19</v>
      </c>
      <c r="F21" s="15" t="s">
        <v>65</v>
      </c>
      <c r="G21" s="13" t="s">
        <v>20</v>
      </c>
      <c r="H21" s="15" t="s">
        <v>66</v>
      </c>
    </row>
    <row r="22" spans="2:8" ht="21.75" customHeight="1">
      <c r="B22" s="13">
        <v>3</v>
      </c>
      <c r="C22" s="14" t="s">
        <v>45</v>
      </c>
      <c r="D22" s="14" t="s">
        <v>46</v>
      </c>
      <c r="E22" s="13" t="s">
        <v>47</v>
      </c>
      <c r="F22" s="15" t="s">
        <v>67</v>
      </c>
      <c r="G22" s="13" t="s">
        <v>60</v>
      </c>
      <c r="H22" s="15" t="s">
        <v>68</v>
      </c>
    </row>
    <row r="23" spans="2:8" ht="21.75" customHeight="1">
      <c r="B23" s="13">
        <v>4</v>
      </c>
      <c r="C23" s="14" t="s">
        <v>50</v>
      </c>
      <c r="D23" s="14" t="s">
        <v>51</v>
      </c>
      <c r="E23" s="13" t="s">
        <v>19</v>
      </c>
      <c r="F23" s="15" t="s">
        <v>69</v>
      </c>
      <c r="G23" s="13" t="s">
        <v>28</v>
      </c>
      <c r="H23" s="15" t="s">
        <v>70</v>
      </c>
    </row>
    <row r="24" spans="2:8" ht="21.75" customHeight="1">
      <c r="B24" s="13">
        <v>5</v>
      </c>
      <c r="C24" s="14" t="s">
        <v>53</v>
      </c>
      <c r="D24" s="14" t="s">
        <v>54</v>
      </c>
      <c r="E24" s="13" t="s">
        <v>19</v>
      </c>
      <c r="F24" s="15"/>
      <c r="G24" s="13" t="s">
        <v>25</v>
      </c>
      <c r="H24" s="15"/>
    </row>
    <row r="25" spans="2:8" ht="21.75" customHeight="1">
      <c r="B25" s="13">
        <v>6</v>
      </c>
      <c r="C25" s="14" t="s">
        <v>55</v>
      </c>
      <c r="D25" s="14" t="s">
        <v>56</v>
      </c>
      <c r="E25" s="13" t="s">
        <v>21</v>
      </c>
      <c r="F25" s="15"/>
      <c r="G25" s="13" t="s">
        <v>20</v>
      </c>
      <c r="H25" s="15"/>
    </row>
    <row r="26" spans="2:8" ht="21.75" customHeight="1">
      <c r="B26" s="13">
        <v>7</v>
      </c>
      <c r="C26" s="14" t="s">
        <v>55</v>
      </c>
      <c r="D26" s="14" t="s">
        <v>58</v>
      </c>
      <c r="E26" s="13" t="s">
        <v>19</v>
      </c>
      <c r="F26" s="15"/>
      <c r="G26" s="13" t="s">
        <v>28</v>
      </c>
      <c r="H26" s="15"/>
    </row>
    <row r="27" spans="2:8" ht="21.75" customHeight="1">
      <c r="B27" s="13">
        <v>8</v>
      </c>
      <c r="C27" s="14" t="s">
        <v>53</v>
      </c>
      <c r="D27" s="14" t="s">
        <v>61</v>
      </c>
      <c r="E27" s="13" t="s">
        <v>19</v>
      </c>
      <c r="F27" s="15"/>
      <c r="G27" s="13" t="s">
        <v>28</v>
      </c>
      <c r="H27" s="15"/>
    </row>
    <row r="28" spans="2:8" ht="21.75" customHeight="1">
      <c r="B28" s="13">
        <v>9</v>
      </c>
      <c r="C28" s="14" t="s">
        <v>53</v>
      </c>
      <c r="D28" s="14" t="s">
        <v>62</v>
      </c>
      <c r="E28" s="13" t="s">
        <v>21</v>
      </c>
      <c r="F28" s="15"/>
      <c r="G28" s="13" t="s">
        <v>44</v>
      </c>
      <c r="H28" s="15"/>
    </row>
    <row r="29" spans="2:8" ht="21.75" customHeight="1">
      <c r="B29" s="13">
        <v>10</v>
      </c>
      <c r="C29" s="14"/>
      <c r="D29" s="14"/>
      <c r="E29" s="13" t="s">
        <v>21</v>
      </c>
      <c r="F29" s="15"/>
      <c r="G29" s="13" t="s">
        <v>25</v>
      </c>
      <c r="H29" s="15"/>
    </row>
    <row r="30" spans="2:8" ht="47.25" customHeight="1">
      <c r="B30" s="19" t="s">
        <v>31</v>
      </c>
      <c r="C30" s="10">
        <f>D3+3</f>
        <v>45554</v>
      </c>
      <c r="D30" s="11"/>
      <c r="E30" s="11"/>
      <c r="F30" s="11"/>
      <c r="G30" s="11"/>
      <c r="H30" s="11"/>
    </row>
    <row r="31" spans="2:8" ht="27" customHeight="1">
      <c r="B31" s="12" t="s">
        <v>11</v>
      </c>
      <c r="C31" s="12" t="s">
        <v>12</v>
      </c>
      <c r="D31" s="12" t="s">
        <v>13</v>
      </c>
      <c r="E31" s="12" t="s">
        <v>14</v>
      </c>
      <c r="F31" s="12" t="s">
        <v>15</v>
      </c>
      <c r="G31" s="12" t="s">
        <v>16</v>
      </c>
      <c r="H31" s="12" t="s">
        <v>17</v>
      </c>
    </row>
    <row r="32" spans="2:8" ht="21.75" customHeight="1">
      <c r="B32" s="13">
        <v>1</v>
      </c>
      <c r="C32" s="14" t="s">
        <v>37</v>
      </c>
      <c r="D32" s="14" t="s">
        <v>38</v>
      </c>
      <c r="E32" s="13" t="s">
        <v>21</v>
      </c>
      <c r="F32" s="15" t="s">
        <v>63</v>
      </c>
      <c r="G32" s="13" t="s">
        <v>25</v>
      </c>
      <c r="H32" s="15" t="s">
        <v>64</v>
      </c>
    </row>
    <row r="33" spans="2:8" ht="21.75" customHeight="1">
      <c r="B33" s="13">
        <v>2</v>
      </c>
      <c r="C33" s="14" t="s">
        <v>41</v>
      </c>
      <c r="D33" s="14" t="s">
        <v>42</v>
      </c>
      <c r="E33" s="13" t="s">
        <v>19</v>
      </c>
      <c r="F33" s="15" t="s">
        <v>65</v>
      </c>
      <c r="G33" s="13" t="s">
        <v>20</v>
      </c>
      <c r="H33" s="15" t="s">
        <v>66</v>
      </c>
    </row>
    <row r="34" spans="2:8" ht="21.75" customHeight="1">
      <c r="B34" s="13">
        <v>3</v>
      </c>
      <c r="C34" s="14" t="s">
        <v>45</v>
      </c>
      <c r="D34" s="14" t="s">
        <v>46</v>
      </c>
      <c r="E34" s="13" t="s">
        <v>47</v>
      </c>
      <c r="F34" s="15" t="s">
        <v>67</v>
      </c>
      <c r="G34" s="13" t="s">
        <v>60</v>
      </c>
      <c r="H34" s="15" t="s">
        <v>68</v>
      </c>
    </row>
    <row r="35" spans="2:8" ht="21.75" customHeight="1">
      <c r="B35" s="13">
        <v>4</v>
      </c>
      <c r="C35" s="14" t="s">
        <v>50</v>
      </c>
      <c r="D35" s="14" t="s">
        <v>51</v>
      </c>
      <c r="E35" s="13" t="s">
        <v>19</v>
      </c>
      <c r="F35" s="15" t="s">
        <v>69</v>
      </c>
      <c r="G35" s="13" t="s">
        <v>28</v>
      </c>
      <c r="H35" s="15" t="s">
        <v>70</v>
      </c>
    </row>
    <row r="36" spans="2:8" ht="21.75" customHeight="1">
      <c r="B36" s="13">
        <v>5</v>
      </c>
      <c r="C36" s="14" t="s">
        <v>53</v>
      </c>
      <c r="D36" s="14" t="s">
        <v>54</v>
      </c>
      <c r="E36" s="13" t="s">
        <v>19</v>
      </c>
      <c r="F36" s="15"/>
      <c r="G36" s="13" t="s">
        <v>25</v>
      </c>
      <c r="H36" s="15"/>
    </row>
    <row r="37" spans="2:8" ht="21.75" customHeight="1">
      <c r="B37" s="13">
        <v>6</v>
      </c>
      <c r="C37" s="14" t="s">
        <v>55</v>
      </c>
      <c r="D37" s="14" t="s">
        <v>56</v>
      </c>
      <c r="E37" s="13" t="s">
        <v>21</v>
      </c>
      <c r="F37" s="15"/>
      <c r="G37" s="13" t="s">
        <v>20</v>
      </c>
      <c r="H37" s="15"/>
    </row>
    <row r="38" spans="2:8" ht="21.75" customHeight="1">
      <c r="B38" s="13">
        <v>7</v>
      </c>
      <c r="C38" s="14" t="s">
        <v>55</v>
      </c>
      <c r="D38" s="14" t="s">
        <v>58</v>
      </c>
      <c r="E38" s="13" t="s">
        <v>19</v>
      </c>
      <c r="F38" s="15"/>
      <c r="G38" s="13" t="s">
        <v>28</v>
      </c>
      <c r="H38" s="15"/>
    </row>
    <row r="39" spans="2:8" ht="21.75" customHeight="1">
      <c r="B39" s="13">
        <v>8</v>
      </c>
      <c r="C39" s="14" t="s">
        <v>53</v>
      </c>
      <c r="D39" s="14" t="s">
        <v>61</v>
      </c>
      <c r="E39" s="13" t="s">
        <v>19</v>
      </c>
      <c r="F39" s="15"/>
      <c r="G39" s="13" t="s">
        <v>28</v>
      </c>
      <c r="H39" s="15"/>
    </row>
    <row r="40" spans="2:8" ht="21.75" customHeight="1">
      <c r="B40" s="13">
        <v>9</v>
      </c>
      <c r="C40" s="14" t="s">
        <v>53</v>
      </c>
      <c r="D40" s="14" t="s">
        <v>62</v>
      </c>
      <c r="E40" s="13" t="s">
        <v>21</v>
      </c>
      <c r="F40" s="15"/>
      <c r="G40" s="13" t="s">
        <v>44</v>
      </c>
      <c r="H40" s="15"/>
    </row>
    <row r="41" spans="2:8" ht="21.75" customHeight="1">
      <c r="B41" s="13">
        <v>10</v>
      </c>
      <c r="C41" s="14"/>
      <c r="D41" s="14"/>
      <c r="E41" s="13" t="s">
        <v>21</v>
      </c>
      <c r="F41" s="15"/>
      <c r="G41" s="13" t="s">
        <v>25</v>
      </c>
      <c r="H41" s="15"/>
    </row>
    <row r="42" spans="2:8" ht="47.25" customHeight="1">
      <c r="B42" s="9" t="s">
        <v>32</v>
      </c>
      <c r="C42" s="10">
        <f>D3+4</f>
        <v>45555</v>
      </c>
      <c r="D42" s="11"/>
      <c r="E42" s="11"/>
      <c r="F42" s="11"/>
      <c r="G42" s="11"/>
      <c r="H42" s="11"/>
    </row>
    <row r="43" spans="2:8" ht="27" customHeight="1">
      <c r="B43" s="12" t="s">
        <v>11</v>
      </c>
      <c r="C43" s="12" t="s">
        <v>12</v>
      </c>
      <c r="D43" s="12" t="s">
        <v>13</v>
      </c>
      <c r="E43" s="12" t="s">
        <v>14</v>
      </c>
      <c r="F43" s="12" t="s">
        <v>15</v>
      </c>
      <c r="G43" s="12" t="s">
        <v>16</v>
      </c>
      <c r="H43" s="12" t="s">
        <v>17</v>
      </c>
    </row>
    <row r="44" spans="2:8" ht="21.75" customHeight="1">
      <c r="B44" s="13">
        <v>1</v>
      </c>
      <c r="C44" s="14" t="s">
        <v>37</v>
      </c>
      <c r="D44" s="14" t="s">
        <v>38</v>
      </c>
      <c r="E44" s="13" t="s">
        <v>21</v>
      </c>
      <c r="F44" s="15" t="s">
        <v>63</v>
      </c>
      <c r="G44" s="13" t="s">
        <v>25</v>
      </c>
      <c r="H44" s="15" t="s">
        <v>64</v>
      </c>
    </row>
    <row r="45" spans="2:8" ht="21.75" customHeight="1">
      <c r="B45" s="13">
        <v>2</v>
      </c>
      <c r="C45" s="14" t="s">
        <v>41</v>
      </c>
      <c r="D45" s="14" t="s">
        <v>42</v>
      </c>
      <c r="E45" s="13" t="s">
        <v>19</v>
      </c>
      <c r="F45" s="15" t="s">
        <v>65</v>
      </c>
      <c r="G45" s="13" t="s">
        <v>20</v>
      </c>
      <c r="H45" s="15" t="s">
        <v>66</v>
      </c>
    </row>
    <row r="46" spans="2:8" ht="21.75" customHeight="1">
      <c r="B46" s="13">
        <v>3</v>
      </c>
      <c r="C46" s="14" t="s">
        <v>45</v>
      </c>
      <c r="D46" s="14" t="s">
        <v>46</v>
      </c>
      <c r="E46" s="13" t="s">
        <v>47</v>
      </c>
      <c r="F46" s="15" t="s">
        <v>67</v>
      </c>
      <c r="G46" s="13" t="s">
        <v>60</v>
      </c>
      <c r="H46" s="15" t="s">
        <v>68</v>
      </c>
    </row>
    <row r="47" spans="2:8" ht="21.75" customHeight="1">
      <c r="B47" s="13">
        <v>4</v>
      </c>
      <c r="C47" s="14" t="s">
        <v>50</v>
      </c>
      <c r="D47" s="14" t="s">
        <v>51</v>
      </c>
      <c r="E47" s="13" t="s">
        <v>19</v>
      </c>
      <c r="F47" s="15" t="s">
        <v>69</v>
      </c>
      <c r="G47" s="13" t="s">
        <v>28</v>
      </c>
      <c r="H47" s="15" t="s">
        <v>70</v>
      </c>
    </row>
    <row r="48" spans="2:8" ht="21.75" customHeight="1">
      <c r="B48" s="13">
        <v>5</v>
      </c>
      <c r="C48" s="14" t="s">
        <v>53</v>
      </c>
      <c r="D48" s="14" t="s">
        <v>54</v>
      </c>
      <c r="E48" s="13" t="s">
        <v>19</v>
      </c>
      <c r="F48" s="15"/>
      <c r="G48" s="13" t="s">
        <v>25</v>
      </c>
      <c r="H48" s="15"/>
    </row>
    <row r="49" spans="2:8" ht="21.75" customHeight="1">
      <c r="B49" s="13">
        <v>6</v>
      </c>
      <c r="C49" s="14" t="s">
        <v>55</v>
      </c>
      <c r="D49" s="14" t="s">
        <v>56</v>
      </c>
      <c r="E49" s="13" t="s">
        <v>21</v>
      </c>
      <c r="F49" s="15"/>
      <c r="G49" s="13" t="s">
        <v>20</v>
      </c>
      <c r="H49" s="15"/>
    </row>
    <row r="50" spans="2:8" ht="21.75" customHeight="1">
      <c r="B50" s="13">
        <v>7</v>
      </c>
      <c r="C50" s="14" t="s">
        <v>55</v>
      </c>
      <c r="D50" s="14" t="s">
        <v>58</v>
      </c>
      <c r="E50" s="13" t="s">
        <v>19</v>
      </c>
      <c r="F50" s="15"/>
      <c r="G50" s="13" t="s">
        <v>28</v>
      </c>
      <c r="H50" s="15"/>
    </row>
    <row r="51" spans="2:8" ht="21.75" customHeight="1">
      <c r="B51" s="13">
        <v>8</v>
      </c>
      <c r="C51" s="14" t="s">
        <v>53</v>
      </c>
      <c r="D51" s="14" t="s">
        <v>61</v>
      </c>
      <c r="E51" s="13" t="s">
        <v>19</v>
      </c>
      <c r="F51" s="15"/>
      <c r="G51" s="13" t="s">
        <v>28</v>
      </c>
      <c r="H51" s="15"/>
    </row>
    <row r="52" spans="2:8" ht="21.75" customHeight="1">
      <c r="B52" s="13">
        <v>9</v>
      </c>
      <c r="C52" s="14" t="s">
        <v>53</v>
      </c>
      <c r="D52" s="14" t="s">
        <v>62</v>
      </c>
      <c r="E52" s="13" t="s">
        <v>21</v>
      </c>
      <c r="F52" s="15"/>
      <c r="G52" s="13" t="s">
        <v>44</v>
      </c>
      <c r="H52" s="15"/>
    </row>
    <row r="53" spans="2:8" ht="21.75" customHeight="1">
      <c r="B53" s="13">
        <v>10</v>
      </c>
      <c r="C53" s="14"/>
      <c r="D53" s="14"/>
      <c r="E53" s="13" t="s">
        <v>21</v>
      </c>
      <c r="F53" s="15"/>
      <c r="G53" s="13" t="s">
        <v>25</v>
      </c>
      <c r="H53" s="15"/>
    </row>
    <row r="54" spans="2:8" ht="47.25" customHeight="1">
      <c r="B54" s="9" t="s">
        <v>33</v>
      </c>
      <c r="C54" s="10">
        <f>D3+5</f>
        <v>45556</v>
      </c>
      <c r="D54" s="11"/>
      <c r="E54" s="11"/>
      <c r="F54" s="11"/>
      <c r="G54" s="11"/>
      <c r="H54" s="11"/>
    </row>
    <row r="55" spans="2:8" ht="27" customHeight="1">
      <c r="B55" s="12" t="s">
        <v>11</v>
      </c>
      <c r="C55" s="12" t="s">
        <v>12</v>
      </c>
      <c r="D55" s="12" t="s">
        <v>13</v>
      </c>
      <c r="E55" s="12" t="s">
        <v>14</v>
      </c>
      <c r="F55" s="12" t="s">
        <v>15</v>
      </c>
      <c r="G55" s="12" t="s">
        <v>16</v>
      </c>
      <c r="H55" s="12" t="s">
        <v>17</v>
      </c>
    </row>
    <row r="56" spans="2:8" ht="21.75" customHeight="1">
      <c r="B56" s="13">
        <v>1</v>
      </c>
      <c r="C56" s="14" t="s">
        <v>37</v>
      </c>
      <c r="D56" s="14" t="s">
        <v>38</v>
      </c>
      <c r="E56" s="13" t="s">
        <v>21</v>
      </c>
      <c r="F56" s="15" t="s">
        <v>63</v>
      </c>
      <c r="G56" s="13" t="s">
        <v>25</v>
      </c>
      <c r="H56" s="15" t="s">
        <v>64</v>
      </c>
    </row>
    <row r="57" spans="2:8" ht="21.75" customHeight="1">
      <c r="B57" s="13">
        <v>2</v>
      </c>
      <c r="C57" s="14" t="s">
        <v>41</v>
      </c>
      <c r="D57" s="14" t="s">
        <v>42</v>
      </c>
      <c r="E57" s="13" t="s">
        <v>19</v>
      </c>
      <c r="F57" s="15" t="s">
        <v>65</v>
      </c>
      <c r="G57" s="13" t="s">
        <v>20</v>
      </c>
      <c r="H57" s="15" t="s">
        <v>66</v>
      </c>
    </row>
    <row r="58" spans="2:8" ht="21.75" customHeight="1">
      <c r="B58" s="13">
        <v>3</v>
      </c>
      <c r="C58" s="14" t="s">
        <v>45</v>
      </c>
      <c r="D58" s="14" t="s">
        <v>46</v>
      </c>
      <c r="E58" s="13" t="s">
        <v>47</v>
      </c>
      <c r="F58" s="15" t="s">
        <v>67</v>
      </c>
      <c r="G58" s="13" t="s">
        <v>60</v>
      </c>
      <c r="H58" s="15" t="s">
        <v>68</v>
      </c>
    </row>
    <row r="59" spans="2:8" ht="21.75" customHeight="1">
      <c r="B59" s="13">
        <v>4</v>
      </c>
      <c r="C59" s="14" t="s">
        <v>50</v>
      </c>
      <c r="D59" s="14" t="s">
        <v>51</v>
      </c>
      <c r="E59" s="13" t="s">
        <v>19</v>
      </c>
      <c r="F59" s="15" t="s">
        <v>69</v>
      </c>
      <c r="G59" s="13" t="s">
        <v>28</v>
      </c>
      <c r="H59" s="15" t="s">
        <v>70</v>
      </c>
    </row>
    <row r="60" spans="2:8" ht="21.75" customHeight="1">
      <c r="B60" s="13">
        <v>5</v>
      </c>
      <c r="C60" s="14" t="s">
        <v>53</v>
      </c>
      <c r="D60" s="14" t="s">
        <v>54</v>
      </c>
      <c r="E60" s="13" t="s">
        <v>19</v>
      </c>
      <c r="F60" s="15"/>
      <c r="G60" s="13" t="s">
        <v>25</v>
      </c>
      <c r="H60" s="15"/>
    </row>
    <row r="61" spans="2:8" ht="21.75" customHeight="1">
      <c r="B61" s="13">
        <v>6</v>
      </c>
      <c r="C61" s="14" t="s">
        <v>55</v>
      </c>
      <c r="D61" s="14" t="s">
        <v>56</v>
      </c>
      <c r="E61" s="13" t="s">
        <v>21</v>
      </c>
      <c r="F61" s="15"/>
      <c r="G61" s="13" t="s">
        <v>20</v>
      </c>
      <c r="H61" s="15"/>
    </row>
    <row r="62" spans="2:8" ht="21.75" customHeight="1">
      <c r="B62" s="13">
        <v>7</v>
      </c>
      <c r="C62" s="14" t="s">
        <v>55</v>
      </c>
      <c r="D62" s="14" t="s">
        <v>58</v>
      </c>
      <c r="E62" s="13" t="s">
        <v>19</v>
      </c>
      <c r="F62" s="15"/>
      <c r="G62" s="13" t="s">
        <v>28</v>
      </c>
      <c r="H62" s="15"/>
    </row>
    <row r="63" spans="2:8" ht="21.75" customHeight="1">
      <c r="B63" s="13">
        <v>8</v>
      </c>
      <c r="C63" s="14" t="s">
        <v>53</v>
      </c>
      <c r="D63" s="14" t="s">
        <v>61</v>
      </c>
      <c r="E63" s="13" t="s">
        <v>19</v>
      </c>
      <c r="F63" s="15"/>
      <c r="G63" s="13" t="s">
        <v>28</v>
      </c>
      <c r="H63" s="15"/>
    </row>
    <row r="64" spans="2:8" ht="21.75" customHeight="1">
      <c r="B64" s="13">
        <v>9</v>
      </c>
      <c r="C64" s="14" t="s">
        <v>53</v>
      </c>
      <c r="D64" s="14" t="s">
        <v>62</v>
      </c>
      <c r="E64" s="13" t="s">
        <v>21</v>
      </c>
      <c r="F64" s="15"/>
      <c r="G64" s="13" t="s">
        <v>44</v>
      </c>
      <c r="H64" s="15"/>
    </row>
    <row r="65" spans="2:8" ht="21.75" customHeight="1">
      <c r="B65" s="13">
        <v>10</v>
      </c>
      <c r="C65" s="14"/>
      <c r="D65" s="14"/>
      <c r="E65" s="13" t="s">
        <v>21</v>
      </c>
      <c r="F65" s="15"/>
      <c r="G65" s="13" t="s">
        <v>25</v>
      </c>
      <c r="H65" s="15"/>
    </row>
    <row r="66" spans="2:8" ht="15" customHeight="1">
      <c r="B66" s="20"/>
      <c r="C66" s="21"/>
      <c r="D66" s="21"/>
      <c r="E66" s="20"/>
      <c r="F66" s="22"/>
      <c r="G66" s="20"/>
      <c r="H66" s="22"/>
    </row>
    <row r="67" spans="2:8" ht="15.75" customHeight="1"/>
    <row r="68" spans="2:8" ht="15.75" customHeight="1"/>
    <row r="69" spans="2:8" ht="15.75" customHeight="1"/>
    <row r="70" spans="2:8" ht="15.75" customHeight="1"/>
    <row r="71" spans="2:8" ht="15.75" customHeight="1"/>
    <row r="72" spans="2:8" ht="15.75" customHeight="1"/>
    <row r="73" spans="2:8" ht="15.75" customHeight="1"/>
    <row r="74" spans="2:8" ht="15.75" customHeight="1"/>
    <row r="75" spans="2:8" ht="15.75" customHeight="1"/>
    <row r="76" spans="2:8" ht="15.75" customHeight="1"/>
    <row r="77" spans="2:8" ht="15.75" customHeight="1"/>
    <row r="78" spans="2:8" ht="15.75" customHeight="1"/>
    <row r="79" spans="2:8" ht="15.75" customHeight="1"/>
    <row r="80" spans="2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7 B20:B29 B32:B41 B44:B53 B56:B66">
    <cfRule type="containsText" dxfId="46" priority="1" operator="containsText" text="Update">
      <formula>NOT(ISERROR(SEARCH(("Update"),(B8))))</formula>
    </cfRule>
  </conditionalFormatting>
  <conditionalFormatting sqref="B8:B17 B20:B29 B32:B41 B44:B53 B56:B66">
    <cfRule type="containsText" dxfId="45" priority="2" operator="containsText" text="Task">
      <formula>NOT(ISERROR(SEARCH(("Task"),(B8))))</formula>
    </cfRule>
  </conditionalFormatting>
  <conditionalFormatting sqref="B8:B17 B20:B29 B32:B41 B44:B53 B56:B66">
    <cfRule type="containsText" dxfId="44" priority="3" operator="containsText" text="Content">
      <formula>NOT(ISERROR(SEARCH(("Content"),(B8))))</formula>
    </cfRule>
  </conditionalFormatting>
  <conditionalFormatting sqref="B8:B17 B20:B29 B32:B41 B44:B53 B56:B66">
    <cfRule type="containsText" dxfId="43" priority="4" operator="containsText" text="Feature">
      <formula>NOT(ISERROR(SEARCH(("Feature"),(B8))))</formula>
    </cfRule>
  </conditionalFormatting>
  <conditionalFormatting sqref="B8:B17 B20:B29 B32:B41 B44:B53 B56:B66">
    <cfRule type="containsText" dxfId="42" priority="5" operator="containsText" text="Research">
      <formula>NOT(ISERROR(SEARCH(("Research"),(B8))))</formula>
    </cfRule>
  </conditionalFormatting>
  <conditionalFormatting sqref="E8:E17 E20:E29 E32:E41 E44:E53 E56:E66">
    <cfRule type="containsText" dxfId="41" priority="6" operator="containsText" text="Low">
      <formula>NOT(ISERROR(SEARCH(("Low"),(E8))))</formula>
    </cfRule>
  </conditionalFormatting>
  <conditionalFormatting sqref="E8:E17 E20:E29 E32:E41 E44:E53 E56:E66">
    <cfRule type="containsText" dxfId="40" priority="7" operator="containsText" text="Medium">
      <formula>NOT(ISERROR(SEARCH(("Medium"),(E8))))</formula>
    </cfRule>
  </conditionalFormatting>
  <conditionalFormatting sqref="E8:E17 E20:E29 E32:E41 E44:E53 E56:E66">
    <cfRule type="containsText" dxfId="39" priority="8" operator="containsText" text="High">
      <formula>NOT(ISERROR(SEARCH(("High"),(E8))))</formula>
    </cfRule>
  </conditionalFormatting>
  <conditionalFormatting sqref="G8:G17 G20:G29 G32:G41 G44:G53 G56:G66">
    <cfRule type="containsText" dxfId="38" priority="9" operator="containsText" text="Testing">
      <formula>NOT(ISERROR(SEARCH(("Testing"),(G8))))</formula>
    </cfRule>
  </conditionalFormatting>
  <conditionalFormatting sqref="G8:G17 G20:G29 G32:G41 G44:G53 G56:G66">
    <cfRule type="containsText" dxfId="37" priority="10" operator="containsText" text="On Hold">
      <formula>NOT(ISERROR(SEARCH(("On Hold"),(G8))))</formula>
    </cfRule>
  </conditionalFormatting>
  <conditionalFormatting sqref="G8:G17 G20:G29 G32:G41 G44:G53 G56:G66">
    <cfRule type="containsText" dxfId="36" priority="11" operator="containsText" text="Complete">
      <formula>NOT(ISERROR(SEARCH(("Complete"),(G8))))</formula>
    </cfRule>
  </conditionalFormatting>
  <conditionalFormatting sqref="G8:G17 G20:G29 G32:G41 G44:G53 G56:G66">
    <cfRule type="containsText" dxfId="35" priority="12" operator="containsText" text="Ready to Start">
      <formula>NOT(ISERROR(SEARCH(("Ready to Start"),(G8))))</formula>
    </cfRule>
  </conditionalFormatting>
  <conditionalFormatting sqref="G8:G17 G20:G29 G32:G41 G44:G53 G56:G66">
    <cfRule type="containsText" dxfId="34" priority="13" operator="containsText" text="In Progress">
      <formula>NOT(ISERROR(SEARCH(("In Progress"),(G8))))</formula>
    </cfRule>
  </conditionalFormatting>
  <hyperlinks>
    <hyperlink ref="D4" r:id="rId1" xr:uid="{00000000-0004-0000-0100-000000000000}"/>
    <hyperlink ref="D5" r:id="rId2" xr:uid="{00000000-0004-0000-0100-000001000000}"/>
  </hyperlinks>
  <pageMargins left="0.7" right="0.7" top="0.75" bottom="0.75" header="0" footer="0"/>
  <pageSetup paperSize="3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'Dropdown Keys - DO NOT DELETE'!$F$4:$F$9</xm:f>
          </x14:formula1>
          <xm:sqref>G8:G17 G20:G29 G32:G41 G44:G53 G56:G66</xm:sqref>
        </x14:dataValidation>
        <x14:dataValidation type="list" allowBlank="1" showErrorMessage="1" xr:uid="{00000000-0002-0000-0100-000001000000}">
          <x14:formula1>
            <xm:f>'Dropdown Keys - DO NOT DELETE'!$D$4:$D$7</xm:f>
          </x14:formula1>
          <xm:sqref>E8:E17 E20:E29 E32:E41 E44:E53 E56:E66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B1:G1000"/>
  <sheetViews>
    <sheetView showGridLines="0" workbookViewId="0"/>
  </sheetViews>
  <sheetFormatPr baseColWidth="10" defaultColWidth="14.42578125" defaultRowHeight="15" customHeight="1"/>
  <cols>
    <col min="1" max="1" width="3.28515625" customWidth="1"/>
    <col min="2" max="2" width="5.28515625" customWidth="1"/>
    <col min="3" max="3" width="3.28515625" customWidth="1"/>
    <col min="4" max="4" width="22.7109375" customWidth="1"/>
    <col min="5" max="5" width="3.28515625" customWidth="1"/>
    <col min="6" max="6" width="22.7109375" customWidth="1"/>
    <col min="7" max="26" width="8.85546875" customWidth="1"/>
  </cols>
  <sheetData>
    <row r="1" spans="2:7" ht="15" customHeight="1">
      <c r="B1" s="38" t="s">
        <v>71</v>
      </c>
      <c r="C1" s="33"/>
      <c r="D1" s="33"/>
      <c r="E1" s="33"/>
      <c r="F1" s="33"/>
      <c r="G1" s="33"/>
    </row>
    <row r="2" spans="2:7" ht="27.75" customHeight="1">
      <c r="B2" s="33"/>
      <c r="C2" s="33"/>
      <c r="D2" s="33"/>
      <c r="E2" s="33"/>
      <c r="F2" s="33"/>
      <c r="G2" s="33"/>
    </row>
    <row r="3" spans="2:7" ht="21.75" customHeight="1">
      <c r="B3" s="23"/>
      <c r="C3" s="20"/>
      <c r="D3" s="24" t="s">
        <v>72</v>
      </c>
      <c r="F3" s="24" t="s">
        <v>73</v>
      </c>
    </row>
    <row r="4" spans="2:7" ht="21.75" customHeight="1">
      <c r="B4" s="20"/>
      <c r="C4" s="20"/>
      <c r="D4" s="13" t="s">
        <v>21</v>
      </c>
      <c r="F4" s="13" t="s">
        <v>20</v>
      </c>
    </row>
    <row r="5" spans="2:7" ht="21.75" customHeight="1">
      <c r="B5" s="25"/>
      <c r="C5" s="20"/>
      <c r="D5" s="26" t="s">
        <v>19</v>
      </c>
      <c r="F5" s="26" t="s">
        <v>60</v>
      </c>
    </row>
    <row r="6" spans="2:7" ht="21.75" customHeight="1">
      <c r="B6" s="25"/>
      <c r="C6" s="20"/>
      <c r="D6" s="26" t="s">
        <v>47</v>
      </c>
      <c r="F6" s="26" t="s">
        <v>28</v>
      </c>
    </row>
    <row r="7" spans="2:7" ht="21.75" customHeight="1">
      <c r="B7" s="20"/>
      <c r="C7" s="20"/>
      <c r="D7" s="27"/>
      <c r="F7" s="27" t="s">
        <v>44</v>
      </c>
    </row>
    <row r="8" spans="2:7" ht="21.75" customHeight="1">
      <c r="B8" s="20"/>
      <c r="C8" s="20"/>
      <c r="D8" s="28"/>
      <c r="F8" s="29" t="s">
        <v>25</v>
      </c>
    </row>
    <row r="9" spans="2:7" ht="21.75" customHeight="1">
      <c r="B9" s="20"/>
      <c r="C9" s="20"/>
      <c r="D9" s="28"/>
      <c r="F9" s="27"/>
    </row>
    <row r="10" spans="2:7">
      <c r="B10" s="28"/>
      <c r="C10" s="20"/>
      <c r="D10" s="28"/>
      <c r="F10" s="28"/>
    </row>
    <row r="11" spans="2:7">
      <c r="B11" s="28"/>
      <c r="C11" s="20"/>
      <c r="D11" s="28"/>
      <c r="F11" s="28"/>
    </row>
    <row r="12" spans="2:7">
      <c r="B12" s="28"/>
      <c r="C12" s="20"/>
      <c r="D12" s="28"/>
      <c r="F12" s="28"/>
    </row>
    <row r="13" spans="2:7">
      <c r="B13" s="28"/>
      <c r="C13" s="20"/>
      <c r="D13" s="28"/>
      <c r="F13" s="28"/>
    </row>
    <row r="14" spans="2:7">
      <c r="B14" s="28"/>
      <c r="C14" s="20"/>
      <c r="D14" s="28"/>
      <c r="F14" s="28"/>
    </row>
    <row r="15" spans="2:7">
      <c r="B15" s="28"/>
      <c r="C15" s="20"/>
      <c r="D15" s="28"/>
      <c r="F15" s="28"/>
    </row>
    <row r="16" spans="2:7">
      <c r="B16" s="28"/>
      <c r="C16" s="20"/>
      <c r="D16" s="28"/>
      <c r="F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2"/>
  </mergeCells>
  <conditionalFormatting sqref="B4:B9">
    <cfRule type="containsText" dxfId="33" priority="1" operator="containsText" text="Update">
      <formula>NOT(ISERROR(SEARCH(("Update"),(B4))))</formula>
    </cfRule>
  </conditionalFormatting>
  <conditionalFormatting sqref="B4:B9">
    <cfRule type="containsText" dxfId="32" priority="2" operator="containsText" text="Task">
      <formula>NOT(ISERROR(SEARCH(("Task"),(B4))))</formula>
    </cfRule>
  </conditionalFormatting>
  <conditionalFormatting sqref="B4:B9">
    <cfRule type="containsText" dxfId="31" priority="3" operator="containsText" text="Content">
      <formula>NOT(ISERROR(SEARCH(("Content"),(B4))))</formula>
    </cfRule>
  </conditionalFormatting>
  <conditionalFormatting sqref="B4:B9">
    <cfRule type="containsText" dxfId="30" priority="4" operator="containsText" text="Feature">
      <formula>NOT(ISERROR(SEARCH(("Feature"),(B4))))</formula>
    </cfRule>
  </conditionalFormatting>
  <conditionalFormatting sqref="B4:B9">
    <cfRule type="containsText" dxfId="29" priority="5" operator="containsText" text="Research">
      <formula>NOT(ISERROR(SEARCH(("Research"),(B4))))</formula>
    </cfRule>
  </conditionalFormatting>
  <conditionalFormatting sqref="D4:D7">
    <cfRule type="containsText" dxfId="28" priority="6" operator="containsText" text="Low">
      <formula>NOT(ISERROR(SEARCH(("Low"),(D4))))</formula>
    </cfRule>
  </conditionalFormatting>
  <conditionalFormatting sqref="D4:D7">
    <cfRule type="containsText" dxfId="27" priority="7" operator="containsText" text="Medium">
      <formula>NOT(ISERROR(SEARCH(("Medium"),(D4))))</formula>
    </cfRule>
  </conditionalFormatting>
  <conditionalFormatting sqref="D4:D7">
    <cfRule type="containsText" dxfId="26" priority="8" operator="containsText" text="High">
      <formula>NOT(ISERROR(SEARCH(("High"),(D4))))</formula>
    </cfRule>
  </conditionalFormatting>
  <conditionalFormatting sqref="F4:F9">
    <cfRule type="containsText" dxfId="25" priority="9" operator="containsText" text="Testing">
      <formula>NOT(ISERROR(SEARCH(("Testing"),(F4))))</formula>
    </cfRule>
  </conditionalFormatting>
  <conditionalFormatting sqref="F4:F9">
    <cfRule type="containsText" dxfId="24" priority="10" operator="containsText" text="On Hold">
      <formula>NOT(ISERROR(SEARCH(("On Hold"),(F4))))</formula>
    </cfRule>
  </conditionalFormatting>
  <conditionalFormatting sqref="F4:F9">
    <cfRule type="containsText" dxfId="23" priority="11" operator="containsText" text="Complete">
      <formula>NOT(ISERROR(SEARCH(("Complete"),(F4))))</formula>
    </cfRule>
  </conditionalFormatting>
  <conditionalFormatting sqref="F4:F9">
    <cfRule type="containsText" dxfId="22" priority="12" operator="containsText" text="Ready to Start">
      <formula>NOT(ISERROR(SEARCH(("Ready to Start"),(F4))))</formula>
    </cfRule>
  </conditionalFormatting>
  <conditionalFormatting sqref="F4:F9">
    <cfRule type="containsText" dxfId="21" priority="13" operator="containsText" text="In Progress">
      <formula>NOT(ISERROR(SEARCH(("In Progress"),(F4))))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Daily Scrum Meeting</vt:lpstr>
      <vt:lpstr>EXAMPLE Daily Scrum Meeting</vt:lpstr>
      <vt:lpstr>Dropdown Keys - DO NOT 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HP</cp:lastModifiedBy>
  <dcterms:created xsi:type="dcterms:W3CDTF">2022-10-05T00:01:56Z</dcterms:created>
  <dcterms:modified xsi:type="dcterms:W3CDTF">2025-10-28T21:33:02Z</dcterms:modified>
</cp:coreProperties>
</file>